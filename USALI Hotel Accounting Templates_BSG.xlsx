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bijoysengupta/Downloads/"/>
    </mc:Choice>
  </mc:AlternateContent>
  <xr:revisionPtr revIDLastSave="0" documentId="8_{5206F97E-9D64-EC47-A4A1-A742C47FBBB1}" xr6:coauthVersionLast="47" xr6:coauthVersionMax="47" xr10:uidLastSave="{00000000-0000-0000-0000-000000000000}"/>
  <bookViews>
    <workbookView xWindow="0" yWindow="0" windowWidth="25600" windowHeight="16000" tabRatio="500" xr2:uid="{00000000-000D-0000-FFFF-FFFF00000000}"/>
  </bookViews>
  <sheets>
    <sheet name="Cover &amp; Instructions" sheetId="1" r:id="rId1"/>
    <sheet name="Setup &amp; Assumptions" sheetId="2" r:id="rId2"/>
    <sheet name="Summary Op Stmt (Operators)" sheetId="3" r:id="rId3"/>
    <sheet name="Summary Op Stmt (Owners)" sheetId="4" r:id="rId4"/>
    <sheet name="Schedule 1 - Rooms" sheetId="5" r:id="rId5"/>
    <sheet name="Schedule 2 - Food &amp; Beverage" sheetId="6" r:id="rId6"/>
    <sheet name="Schedule 3 - Other Op Depts" sheetId="7" r:id="rId7"/>
    <sheet name="Sub-Sch 3-1 - Golf" sheetId="8" r:id="rId8"/>
    <sheet name="Sub-Sch 3-2 - Health Club Spa" sheetId="9" r:id="rId9"/>
    <sheet name="Sub-Sch 3-3 - Parking" sheetId="10" r:id="rId10"/>
    <sheet name="Sub-Sch 3-x - Generic" sheetId="11" r:id="rId11"/>
    <sheet name="Sub-Sch 3-xx - Minor Op Depts" sheetId="12" r:id="rId12"/>
    <sheet name="Schedule 4 - Misc Income" sheetId="13" r:id="rId13"/>
    <sheet name="Schedule 5 - Admin &amp; General" sheetId="14" r:id="rId14"/>
    <sheet name="Schedule 6 - Info &amp; Telecom" sheetId="15" r:id="rId15"/>
    <sheet name="Schedule 7 - Sales &amp; Marketing" sheetId="16" r:id="rId16"/>
    <sheet name="Schedule 8 - Prop Op &amp; Maint" sheetId="17" r:id="rId17"/>
    <sheet name="Schedule 9 - Utilities" sheetId="18" r:id="rId18"/>
    <sheet name="Schedule 10 - Management Fees" sheetId="19" r:id="rId19"/>
    <sheet name="Schedule 11 - Non-Operating" sheetId="20" r:id="rId20"/>
    <sheet name="Schedule 12 - House Laundry" sheetId="21" r:id="rId21"/>
    <sheet name="Schedule 13 - Staff Dining" sheetId="22" r:id="rId22"/>
    <sheet name="Schedule 14 - Payroll-Related" sheetId="23" r:id="rId23"/>
    <sheet name="Operating Metrics &amp; Ratio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6" i="24" l="1"/>
  <c r="J26" i="24"/>
  <c r="H26" i="24"/>
  <c r="F26" i="24"/>
  <c r="D26" i="24"/>
  <c r="B26" i="24"/>
  <c r="L13" i="24"/>
  <c r="J13" i="24"/>
  <c r="H13" i="24"/>
  <c r="F13" i="24"/>
  <c r="D13" i="24"/>
  <c r="B13" i="24"/>
  <c r="L12" i="24"/>
  <c r="J12" i="24"/>
  <c r="H12" i="24"/>
  <c r="F12" i="24"/>
  <c r="D12" i="24"/>
  <c r="B12" i="24"/>
  <c r="L11" i="24"/>
  <c r="J11" i="24"/>
  <c r="H11" i="24"/>
  <c r="F11" i="24"/>
  <c r="D11" i="24"/>
  <c r="B11" i="24"/>
  <c r="L10" i="24"/>
  <c r="J10" i="24"/>
  <c r="H10" i="24"/>
  <c r="F10" i="24"/>
  <c r="D10" i="24"/>
  <c r="B10" i="24"/>
  <c r="L9" i="24"/>
  <c r="J9" i="24"/>
  <c r="H9" i="24"/>
  <c r="F9" i="24"/>
  <c r="D9" i="24"/>
  <c r="B9" i="24"/>
  <c r="L8" i="24"/>
  <c r="J8" i="24"/>
  <c r="H8" i="24"/>
  <c r="F8" i="24"/>
  <c r="D8" i="24"/>
  <c r="B8" i="24"/>
  <c r="J2" i="24"/>
  <c r="B2" i="24"/>
  <c r="J48" i="23"/>
  <c r="B48" i="23"/>
  <c r="L47" i="23"/>
  <c r="J47" i="23"/>
  <c r="H47" i="23"/>
  <c r="F47" i="23"/>
  <c r="D47" i="23"/>
  <c r="B47" i="23"/>
  <c r="L24" i="23"/>
  <c r="J24" i="23"/>
  <c r="H24" i="23"/>
  <c r="H48" i="23" s="1"/>
  <c r="F24" i="23"/>
  <c r="D24" i="23"/>
  <c r="B24" i="23"/>
  <c r="L16" i="23"/>
  <c r="L48" i="23" s="1"/>
  <c r="J16" i="23"/>
  <c r="H16" i="23"/>
  <c r="F16" i="23"/>
  <c r="D16" i="23"/>
  <c r="D48" i="23" s="1"/>
  <c r="B16" i="23"/>
  <c r="J2" i="23"/>
  <c r="B2" i="23"/>
  <c r="F66" i="22"/>
  <c r="L65" i="22"/>
  <c r="J65" i="22"/>
  <c r="H65" i="22"/>
  <c r="F65" i="22"/>
  <c r="D65" i="22"/>
  <c r="B65" i="22"/>
  <c r="L55" i="22"/>
  <c r="J55" i="22"/>
  <c r="H55" i="22"/>
  <c r="F55" i="22"/>
  <c r="D55" i="22"/>
  <c r="B55" i="22"/>
  <c r="B26" i="22"/>
  <c r="L25" i="22"/>
  <c r="J25" i="22"/>
  <c r="H25" i="22"/>
  <c r="F25" i="22"/>
  <c r="D25" i="22"/>
  <c r="B25" i="22"/>
  <c r="L20" i="22"/>
  <c r="L26" i="22" s="1"/>
  <c r="L56" i="22" s="1"/>
  <c r="L58" i="22" s="1"/>
  <c r="L66" i="22" s="1"/>
  <c r="J20" i="22"/>
  <c r="B20" i="22"/>
  <c r="L16" i="22"/>
  <c r="J16" i="22"/>
  <c r="H16" i="22"/>
  <c r="H20" i="22" s="1"/>
  <c r="H26" i="22" s="1"/>
  <c r="H56" i="22" s="1"/>
  <c r="H58" i="22" s="1"/>
  <c r="F16" i="22"/>
  <c r="F20" i="22" s="1"/>
  <c r="F26" i="22" s="1"/>
  <c r="F56" i="22" s="1"/>
  <c r="F58" i="22" s="1"/>
  <c r="D16" i="22"/>
  <c r="D20" i="22" s="1"/>
  <c r="D26" i="22" s="1"/>
  <c r="D56" i="22" s="1"/>
  <c r="D58" i="22" s="1"/>
  <c r="D66" i="22" s="1"/>
  <c r="B16" i="22"/>
  <c r="J2" i="22"/>
  <c r="B2" i="22"/>
  <c r="D57" i="21"/>
  <c r="L56" i="21"/>
  <c r="J56" i="21"/>
  <c r="H56" i="21"/>
  <c r="F56" i="21"/>
  <c r="D56" i="21"/>
  <c r="B56" i="21"/>
  <c r="L44" i="21"/>
  <c r="J44" i="21"/>
  <c r="H44" i="21"/>
  <c r="F44" i="21"/>
  <c r="D44" i="21"/>
  <c r="B44" i="21"/>
  <c r="J23" i="21"/>
  <c r="J45" i="21" s="1"/>
  <c r="J49" i="21" s="1"/>
  <c r="L22" i="21"/>
  <c r="J22" i="21"/>
  <c r="H22" i="21"/>
  <c r="F22" i="21"/>
  <c r="D22" i="21"/>
  <c r="B22" i="21"/>
  <c r="L17" i="21"/>
  <c r="L23" i="21" s="1"/>
  <c r="L45" i="21" s="1"/>
  <c r="L49" i="21" s="1"/>
  <c r="L57" i="21" s="1"/>
  <c r="F17" i="21"/>
  <c r="F23" i="21" s="1"/>
  <c r="F45" i="21" s="1"/>
  <c r="F49" i="21" s="1"/>
  <c r="D17" i="21"/>
  <c r="D23" i="21" s="1"/>
  <c r="D45" i="21" s="1"/>
  <c r="D49" i="21" s="1"/>
  <c r="L13" i="21"/>
  <c r="J13" i="21"/>
  <c r="J17" i="21" s="1"/>
  <c r="H13" i="21"/>
  <c r="H17" i="21" s="1"/>
  <c r="F13" i="21"/>
  <c r="D13" i="21"/>
  <c r="B13" i="21"/>
  <c r="B17" i="21" s="1"/>
  <c r="B23" i="21" s="1"/>
  <c r="B45" i="21" s="1"/>
  <c r="B49" i="21" s="1"/>
  <c r="J2" i="21"/>
  <c r="B2" i="21"/>
  <c r="L32" i="20"/>
  <c r="J32" i="20"/>
  <c r="H32" i="20"/>
  <c r="F32" i="20"/>
  <c r="D32" i="20"/>
  <c r="B32" i="20"/>
  <c r="L26" i="20"/>
  <c r="J26" i="20"/>
  <c r="H26" i="20"/>
  <c r="F26" i="20"/>
  <c r="D26" i="20"/>
  <c r="B26" i="20"/>
  <c r="B33" i="20" s="1"/>
  <c r="L21" i="20"/>
  <c r="J21" i="20"/>
  <c r="H21" i="20"/>
  <c r="F21" i="20"/>
  <c r="D21" i="20"/>
  <c r="B21" i="20"/>
  <c r="L15" i="20"/>
  <c r="J15" i="20"/>
  <c r="J33" i="20" s="1"/>
  <c r="H15" i="20"/>
  <c r="F15" i="20"/>
  <c r="D15" i="20"/>
  <c r="B15" i="20"/>
  <c r="L11" i="20"/>
  <c r="J11" i="20"/>
  <c r="H11" i="20"/>
  <c r="H33" i="20" s="1"/>
  <c r="F11" i="20"/>
  <c r="D11" i="20"/>
  <c r="B11" i="20"/>
  <c r="J2" i="20"/>
  <c r="B2" i="20"/>
  <c r="L10" i="19"/>
  <c r="J10" i="19"/>
  <c r="H10" i="19"/>
  <c r="F10" i="19"/>
  <c r="D10" i="19"/>
  <c r="B10" i="19"/>
  <c r="J2" i="19"/>
  <c r="B2" i="19"/>
  <c r="L16" i="18"/>
  <c r="J16" i="18"/>
  <c r="H16" i="18"/>
  <c r="F16" i="18"/>
  <c r="D16" i="18"/>
  <c r="B16" i="18"/>
  <c r="J2" i="18"/>
  <c r="B2" i="18"/>
  <c r="F57" i="17"/>
  <c r="L56" i="17"/>
  <c r="J56" i="17"/>
  <c r="H56" i="17"/>
  <c r="F56" i="17"/>
  <c r="D56" i="17"/>
  <c r="B56" i="17"/>
  <c r="L23" i="17"/>
  <c r="L57" i="17" s="1"/>
  <c r="L22" i="17"/>
  <c r="J22" i="17"/>
  <c r="H22" i="17"/>
  <c r="F22" i="17"/>
  <c r="D22" i="17"/>
  <c r="B22" i="17"/>
  <c r="H17" i="17"/>
  <c r="F17" i="17"/>
  <c r="F23" i="17" s="1"/>
  <c r="B17" i="17"/>
  <c r="L13" i="17"/>
  <c r="L17" i="17" s="1"/>
  <c r="J13" i="17"/>
  <c r="J17" i="17" s="1"/>
  <c r="J23" i="17" s="1"/>
  <c r="J57" i="17" s="1"/>
  <c r="H13" i="17"/>
  <c r="F13" i="17"/>
  <c r="D13" i="17"/>
  <c r="D17" i="17" s="1"/>
  <c r="D23" i="17" s="1"/>
  <c r="D57" i="17" s="1"/>
  <c r="B13" i="17"/>
  <c r="J2" i="17"/>
  <c r="B2" i="17"/>
  <c r="L56" i="16"/>
  <c r="J56" i="16"/>
  <c r="H56" i="16"/>
  <c r="F56" i="16"/>
  <c r="D56" i="16"/>
  <c r="B56" i="16"/>
  <c r="D23" i="16"/>
  <c r="D57" i="16" s="1"/>
  <c r="L22" i="16"/>
  <c r="J22" i="16"/>
  <c r="H22" i="16"/>
  <c r="F22" i="16"/>
  <c r="D22" i="16"/>
  <c r="B22" i="16"/>
  <c r="B17" i="16"/>
  <c r="B23" i="16" s="1"/>
  <c r="B57" i="16" s="1"/>
  <c r="L13" i="16"/>
  <c r="L17" i="16" s="1"/>
  <c r="L23" i="16" s="1"/>
  <c r="L57" i="16" s="1"/>
  <c r="J13" i="16"/>
  <c r="J17" i="16" s="1"/>
  <c r="J23" i="16" s="1"/>
  <c r="J57" i="16" s="1"/>
  <c r="H13" i="16"/>
  <c r="H17" i="16" s="1"/>
  <c r="F13" i="16"/>
  <c r="F17" i="16" s="1"/>
  <c r="F23" i="16" s="1"/>
  <c r="F57" i="16" s="1"/>
  <c r="D13" i="16"/>
  <c r="D17" i="16" s="1"/>
  <c r="B13" i="16"/>
  <c r="J2" i="16"/>
  <c r="B2" i="16"/>
  <c r="L67" i="15"/>
  <c r="J67" i="15"/>
  <c r="H67" i="15"/>
  <c r="F67" i="15"/>
  <c r="D67" i="15"/>
  <c r="B67" i="15"/>
  <c r="L50" i="15"/>
  <c r="J50" i="15"/>
  <c r="H50" i="15"/>
  <c r="F50" i="15"/>
  <c r="D50" i="15"/>
  <c r="B50" i="15"/>
  <c r="L32" i="15"/>
  <c r="J32" i="15"/>
  <c r="H32" i="15"/>
  <c r="F32" i="15"/>
  <c r="D32" i="15"/>
  <c r="B32" i="15"/>
  <c r="J25" i="15"/>
  <c r="J68" i="15" s="1"/>
  <c r="H25" i="15"/>
  <c r="H68" i="15" s="1"/>
  <c r="B25" i="15"/>
  <c r="B68" i="15" s="1"/>
  <c r="L24" i="15"/>
  <c r="J24" i="15"/>
  <c r="H24" i="15"/>
  <c r="F24" i="15"/>
  <c r="D24" i="15"/>
  <c r="B24" i="15"/>
  <c r="L19" i="15"/>
  <c r="L25" i="15" s="1"/>
  <c r="L68" i="15" s="1"/>
  <c r="J19" i="15"/>
  <c r="H19" i="15"/>
  <c r="D19" i="15"/>
  <c r="D25" i="15" s="1"/>
  <c r="D68" i="15" s="1"/>
  <c r="B19" i="15"/>
  <c r="L15" i="15"/>
  <c r="J15" i="15"/>
  <c r="H15" i="15"/>
  <c r="F15" i="15"/>
  <c r="F19" i="15" s="1"/>
  <c r="D15" i="15"/>
  <c r="B15" i="15"/>
  <c r="J2" i="15"/>
  <c r="B2" i="15"/>
  <c r="L64" i="14"/>
  <c r="J64" i="14"/>
  <c r="H64" i="14"/>
  <c r="F64" i="14"/>
  <c r="D64" i="14"/>
  <c r="B64" i="14"/>
  <c r="L28" i="14"/>
  <c r="L65" i="14" s="1"/>
  <c r="L27" i="14"/>
  <c r="J27" i="14"/>
  <c r="H27" i="14"/>
  <c r="F27" i="14"/>
  <c r="D27" i="14"/>
  <c r="B27" i="14"/>
  <c r="L22" i="14"/>
  <c r="J22" i="14"/>
  <c r="J28" i="14" s="1"/>
  <c r="L18" i="14"/>
  <c r="J18" i="14"/>
  <c r="H18" i="14"/>
  <c r="H22" i="14" s="1"/>
  <c r="H28" i="14" s="1"/>
  <c r="H65" i="14" s="1"/>
  <c r="F18" i="14"/>
  <c r="F22" i="14" s="1"/>
  <c r="F28" i="14" s="1"/>
  <c r="F65" i="14" s="1"/>
  <c r="D18" i="14"/>
  <c r="D22" i="14" s="1"/>
  <c r="D28" i="14" s="1"/>
  <c r="D65" i="14" s="1"/>
  <c r="B18" i="14"/>
  <c r="B22" i="14" s="1"/>
  <c r="B28" i="14" s="1"/>
  <c r="B65" i="14" s="1"/>
  <c r="J2" i="14"/>
  <c r="B2" i="14"/>
  <c r="L22" i="13"/>
  <c r="J22" i="13"/>
  <c r="H22" i="13"/>
  <c r="F22" i="13"/>
  <c r="D22" i="13"/>
  <c r="B22" i="13"/>
  <c r="J2" i="13"/>
  <c r="B2" i="13"/>
  <c r="M25" i="12"/>
  <c r="K25" i="12"/>
  <c r="I25" i="12"/>
  <c r="C25" i="12"/>
  <c r="M24" i="12"/>
  <c r="L24" i="12"/>
  <c r="J24" i="12"/>
  <c r="H24" i="12"/>
  <c r="G24" i="12"/>
  <c r="F24" i="12"/>
  <c r="D24" i="12"/>
  <c r="B24" i="12"/>
  <c r="M23" i="12"/>
  <c r="L23" i="12"/>
  <c r="K23" i="12"/>
  <c r="J23" i="12"/>
  <c r="I23" i="12"/>
  <c r="H23" i="12"/>
  <c r="F23" i="12"/>
  <c r="D23" i="12"/>
  <c r="B23" i="12"/>
  <c r="M22" i="12"/>
  <c r="L22" i="12"/>
  <c r="J22" i="12"/>
  <c r="I22" i="12"/>
  <c r="H22" i="12"/>
  <c r="G22" i="12"/>
  <c r="F22" i="12"/>
  <c r="D22" i="12"/>
  <c r="B22" i="12"/>
  <c r="L21" i="12"/>
  <c r="J21" i="12"/>
  <c r="H21" i="12"/>
  <c r="F21" i="12"/>
  <c r="D21" i="12"/>
  <c r="B21" i="12"/>
  <c r="M19" i="12"/>
  <c r="L19" i="12"/>
  <c r="J19" i="12"/>
  <c r="I19" i="12"/>
  <c r="H19" i="12"/>
  <c r="G19" i="12"/>
  <c r="F19" i="12"/>
  <c r="D19" i="12"/>
  <c r="B19" i="12"/>
  <c r="M18" i="12"/>
  <c r="K18" i="12"/>
  <c r="I18" i="12"/>
  <c r="G18" i="12"/>
  <c r="I17" i="12"/>
  <c r="G17" i="12"/>
  <c r="M16" i="12"/>
  <c r="K16" i="12"/>
  <c r="M15" i="12"/>
  <c r="K15" i="12"/>
  <c r="I15" i="12"/>
  <c r="G15" i="12"/>
  <c r="M13" i="12"/>
  <c r="L13" i="12"/>
  <c r="M12" i="12" s="1"/>
  <c r="K13" i="12"/>
  <c r="J13" i="12"/>
  <c r="I13" i="12"/>
  <c r="H13" i="12"/>
  <c r="F13" i="12"/>
  <c r="G25" i="12" s="1"/>
  <c r="D13" i="12"/>
  <c r="E21" i="12" s="1"/>
  <c r="B13" i="12"/>
  <c r="C18" i="12" s="1"/>
  <c r="K12" i="12"/>
  <c r="G12" i="12"/>
  <c r="M11" i="12"/>
  <c r="K11" i="12"/>
  <c r="I11" i="12"/>
  <c r="G11" i="12"/>
  <c r="C11" i="12"/>
  <c r="K10" i="12"/>
  <c r="I10" i="12"/>
  <c r="G10" i="12"/>
  <c r="C10" i="12"/>
  <c r="K9" i="12"/>
  <c r="I9" i="12"/>
  <c r="G9" i="12"/>
  <c r="E9" i="12"/>
  <c r="M8" i="12"/>
  <c r="K8" i="12"/>
  <c r="G8" i="12"/>
  <c r="C8" i="12"/>
  <c r="J2" i="12"/>
  <c r="B2" i="12"/>
  <c r="M55" i="11"/>
  <c r="L55" i="11"/>
  <c r="G55" i="11"/>
  <c r="E55" i="11"/>
  <c r="C55" i="11"/>
  <c r="M54" i="11"/>
  <c r="K54" i="11"/>
  <c r="I54" i="11"/>
  <c r="G54" i="11"/>
  <c r="E54" i="11"/>
  <c r="C54" i="11"/>
  <c r="M53" i="11"/>
  <c r="L53" i="11"/>
  <c r="K53" i="11"/>
  <c r="J53" i="11"/>
  <c r="H53" i="11"/>
  <c r="G53" i="11"/>
  <c r="F53" i="11"/>
  <c r="E53" i="11"/>
  <c r="D53" i="11"/>
  <c r="C53" i="11"/>
  <c r="B53" i="11"/>
  <c r="M52" i="11"/>
  <c r="I52" i="11"/>
  <c r="G52" i="11"/>
  <c r="E52" i="11"/>
  <c r="M51" i="11"/>
  <c r="K51" i="11"/>
  <c r="E51" i="11"/>
  <c r="M50" i="11"/>
  <c r="I50" i="11"/>
  <c r="G50" i="11"/>
  <c r="E50" i="11"/>
  <c r="M49" i="11"/>
  <c r="G49" i="11"/>
  <c r="E49" i="11"/>
  <c r="C49" i="11"/>
  <c r="M48" i="11"/>
  <c r="I48" i="11"/>
  <c r="G48" i="11"/>
  <c r="E48" i="11"/>
  <c r="M47" i="11"/>
  <c r="K47" i="11"/>
  <c r="E47" i="11"/>
  <c r="M46" i="11"/>
  <c r="I46" i="11"/>
  <c r="G46" i="11"/>
  <c r="E46" i="11"/>
  <c r="M45" i="11"/>
  <c r="G45" i="11"/>
  <c r="E45" i="11"/>
  <c r="C45" i="11"/>
  <c r="M44" i="11"/>
  <c r="I44" i="11"/>
  <c r="G44" i="11"/>
  <c r="E44" i="11"/>
  <c r="M43" i="11"/>
  <c r="K43" i="11"/>
  <c r="E43" i="11"/>
  <c r="M42" i="11"/>
  <c r="I42" i="11"/>
  <c r="G42" i="11"/>
  <c r="E42" i="11"/>
  <c r="M41" i="11"/>
  <c r="G41" i="11"/>
  <c r="E41" i="11"/>
  <c r="C41" i="11"/>
  <c r="M40" i="11"/>
  <c r="I40" i="11"/>
  <c r="G40" i="11"/>
  <c r="E40" i="11"/>
  <c r="M39" i="11"/>
  <c r="K39" i="11"/>
  <c r="E39" i="11"/>
  <c r="M38" i="11"/>
  <c r="I38" i="11"/>
  <c r="G38" i="11"/>
  <c r="E38" i="11"/>
  <c r="M37" i="11"/>
  <c r="G37" i="11"/>
  <c r="E37" i="11"/>
  <c r="C37" i="11"/>
  <c r="M36" i="11"/>
  <c r="I36" i="11"/>
  <c r="G36" i="11"/>
  <c r="E36" i="11"/>
  <c r="M35" i="11"/>
  <c r="K35" i="11"/>
  <c r="E35" i="11"/>
  <c r="M34" i="11"/>
  <c r="I34" i="11"/>
  <c r="G34" i="11"/>
  <c r="E34" i="11"/>
  <c r="M33" i="11"/>
  <c r="G33" i="11"/>
  <c r="E33" i="11"/>
  <c r="C33" i="11"/>
  <c r="M32" i="11"/>
  <c r="I32" i="11"/>
  <c r="G32" i="11"/>
  <c r="E32" i="11"/>
  <c r="M31" i="11"/>
  <c r="K31" i="11"/>
  <c r="E31" i="11"/>
  <c r="M29" i="11"/>
  <c r="K29" i="11"/>
  <c r="J29" i="11"/>
  <c r="J54" i="11" s="1"/>
  <c r="G29" i="11"/>
  <c r="E29" i="11"/>
  <c r="C29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M27" i="11"/>
  <c r="G27" i="11"/>
  <c r="E27" i="11"/>
  <c r="M26" i="11"/>
  <c r="I26" i="11"/>
  <c r="G26" i="11"/>
  <c r="E26" i="11"/>
  <c r="C26" i="11"/>
  <c r="M25" i="11"/>
  <c r="G25" i="11"/>
  <c r="E25" i="11"/>
  <c r="M23" i="11"/>
  <c r="K23" i="11"/>
  <c r="I23" i="11"/>
  <c r="G23" i="11"/>
  <c r="E23" i="11"/>
  <c r="D23" i="11"/>
  <c r="D29" i="11" s="1"/>
  <c r="D54" i="11" s="1"/>
  <c r="C23" i="11"/>
  <c r="L19" i="11"/>
  <c r="L23" i="11" s="1"/>
  <c r="L29" i="11" s="1"/>
  <c r="L54" i="11" s="1"/>
  <c r="J19" i="11"/>
  <c r="J23" i="11" s="1"/>
  <c r="H19" i="11"/>
  <c r="H23" i="11" s="1"/>
  <c r="H29" i="11" s="1"/>
  <c r="H54" i="11" s="1"/>
  <c r="F19" i="11"/>
  <c r="F23" i="11" s="1"/>
  <c r="F29" i="11" s="1"/>
  <c r="F54" i="11" s="1"/>
  <c r="D19" i="11"/>
  <c r="B19" i="11"/>
  <c r="B23" i="11" s="1"/>
  <c r="B29" i="11" s="1"/>
  <c r="B54" i="11" s="1"/>
  <c r="M12" i="11"/>
  <c r="K12" i="11"/>
  <c r="I12" i="11"/>
  <c r="G12" i="11"/>
  <c r="F12" i="11"/>
  <c r="F55" i="11" s="1"/>
  <c r="E12" i="11"/>
  <c r="C12" i="11"/>
  <c r="M11" i="11"/>
  <c r="G11" i="11"/>
  <c r="E11" i="11"/>
  <c r="M10" i="11"/>
  <c r="L10" i="11"/>
  <c r="L12" i="11" s="1"/>
  <c r="K10" i="11"/>
  <c r="J10" i="11"/>
  <c r="K55" i="11" s="1"/>
  <c r="I10" i="11"/>
  <c r="H10" i="11"/>
  <c r="G10" i="11"/>
  <c r="F10" i="11"/>
  <c r="G51" i="11" s="1"/>
  <c r="E10" i="11"/>
  <c r="D10" i="11"/>
  <c r="D12" i="11" s="1"/>
  <c r="D55" i="11" s="1"/>
  <c r="C10" i="11"/>
  <c r="B10" i="11"/>
  <c r="C50" i="11" s="1"/>
  <c r="M9" i="11"/>
  <c r="K9" i="11"/>
  <c r="I9" i="11"/>
  <c r="G9" i="11"/>
  <c r="E9" i="11"/>
  <c r="M8" i="11"/>
  <c r="K8" i="11"/>
  <c r="G8" i="11"/>
  <c r="E8" i="11"/>
  <c r="J2" i="11"/>
  <c r="B2" i="11"/>
  <c r="M57" i="10"/>
  <c r="G57" i="10"/>
  <c r="E57" i="10"/>
  <c r="M56" i="10"/>
  <c r="G56" i="10"/>
  <c r="E56" i="10"/>
  <c r="M55" i="10"/>
  <c r="L55" i="10"/>
  <c r="J55" i="10"/>
  <c r="H55" i="10"/>
  <c r="G55" i="10"/>
  <c r="F55" i="10"/>
  <c r="E55" i="10"/>
  <c r="D55" i="10"/>
  <c r="B55" i="10"/>
  <c r="M54" i="10"/>
  <c r="G54" i="10"/>
  <c r="E54" i="10"/>
  <c r="M53" i="10"/>
  <c r="E53" i="10"/>
  <c r="M52" i="10"/>
  <c r="I52" i="10"/>
  <c r="G52" i="10"/>
  <c r="E52" i="10"/>
  <c r="M51" i="10"/>
  <c r="G51" i="10"/>
  <c r="E51" i="10"/>
  <c r="M50" i="10"/>
  <c r="G50" i="10"/>
  <c r="E50" i="10"/>
  <c r="M49" i="10"/>
  <c r="E49" i="10"/>
  <c r="M48" i="10"/>
  <c r="G48" i="10"/>
  <c r="E48" i="10"/>
  <c r="M47" i="10"/>
  <c r="G47" i="10"/>
  <c r="E47" i="10"/>
  <c r="M46" i="10"/>
  <c r="G46" i="10"/>
  <c r="E46" i="10"/>
  <c r="M45" i="10"/>
  <c r="I45" i="10"/>
  <c r="E45" i="10"/>
  <c r="M44" i="10"/>
  <c r="G44" i="10"/>
  <c r="E44" i="10"/>
  <c r="M43" i="10"/>
  <c r="I43" i="10"/>
  <c r="G43" i="10"/>
  <c r="E43" i="10"/>
  <c r="M42" i="10"/>
  <c r="G42" i="10"/>
  <c r="E42" i="10"/>
  <c r="M41" i="10"/>
  <c r="E41" i="10"/>
  <c r="M40" i="10"/>
  <c r="G40" i="10"/>
  <c r="E40" i="10"/>
  <c r="M39" i="10"/>
  <c r="G39" i="10"/>
  <c r="E39" i="10"/>
  <c r="M38" i="10"/>
  <c r="G38" i="10"/>
  <c r="E38" i="10"/>
  <c r="M37" i="10"/>
  <c r="I37" i="10"/>
  <c r="E37" i="10"/>
  <c r="M36" i="10"/>
  <c r="G36" i="10"/>
  <c r="E36" i="10"/>
  <c r="M35" i="10"/>
  <c r="G35" i="10"/>
  <c r="E35" i="10"/>
  <c r="M34" i="10"/>
  <c r="G34" i="10"/>
  <c r="E34" i="10"/>
  <c r="M33" i="10"/>
  <c r="I33" i="10"/>
  <c r="E33" i="10"/>
  <c r="M31" i="10"/>
  <c r="J31" i="10"/>
  <c r="J56" i="10" s="1"/>
  <c r="G31" i="10"/>
  <c r="E31" i="10"/>
  <c r="M30" i="10"/>
  <c r="L30" i="10"/>
  <c r="J30" i="10"/>
  <c r="H30" i="10"/>
  <c r="G30" i="10"/>
  <c r="F30" i="10"/>
  <c r="E30" i="10"/>
  <c r="D30" i="10"/>
  <c r="B30" i="10"/>
  <c r="M29" i="10"/>
  <c r="G29" i="10"/>
  <c r="E29" i="10"/>
  <c r="M28" i="10"/>
  <c r="I28" i="10"/>
  <c r="G28" i="10"/>
  <c r="E28" i="10"/>
  <c r="M27" i="10"/>
  <c r="G27" i="10"/>
  <c r="E27" i="10"/>
  <c r="M25" i="10"/>
  <c r="L25" i="10"/>
  <c r="L31" i="10" s="1"/>
  <c r="L56" i="10" s="1"/>
  <c r="G25" i="10"/>
  <c r="E25" i="10"/>
  <c r="D25" i="10"/>
  <c r="D31" i="10" s="1"/>
  <c r="D56" i="10" s="1"/>
  <c r="L21" i="10"/>
  <c r="J21" i="10"/>
  <c r="J25" i="10" s="1"/>
  <c r="H21" i="10"/>
  <c r="H25" i="10" s="1"/>
  <c r="F21" i="10"/>
  <c r="F25" i="10" s="1"/>
  <c r="F31" i="10" s="1"/>
  <c r="F56" i="10" s="1"/>
  <c r="D21" i="10"/>
  <c r="B21" i="10"/>
  <c r="B25" i="10" s="1"/>
  <c r="B31" i="10" s="1"/>
  <c r="B56" i="10" s="1"/>
  <c r="M14" i="10"/>
  <c r="G14" i="10"/>
  <c r="F14" i="10"/>
  <c r="F57" i="10" s="1"/>
  <c r="E14" i="10"/>
  <c r="M13" i="10"/>
  <c r="G13" i="10"/>
  <c r="E13" i="10"/>
  <c r="M12" i="10"/>
  <c r="L12" i="10"/>
  <c r="L14" i="10" s="1"/>
  <c r="J12" i="10"/>
  <c r="I12" i="10"/>
  <c r="H12" i="10"/>
  <c r="I31" i="10" s="1"/>
  <c r="G12" i="10"/>
  <c r="F12" i="10"/>
  <c r="G53" i="10" s="1"/>
  <c r="E12" i="10"/>
  <c r="D12" i="10"/>
  <c r="D14" i="10" s="1"/>
  <c r="B12" i="10"/>
  <c r="M11" i="10"/>
  <c r="G11" i="10"/>
  <c r="E11" i="10"/>
  <c r="M10" i="10"/>
  <c r="I10" i="10"/>
  <c r="G10" i="10"/>
  <c r="E10" i="10"/>
  <c r="M9" i="10"/>
  <c r="G9" i="10"/>
  <c r="E9" i="10"/>
  <c r="M8" i="10"/>
  <c r="I8" i="10"/>
  <c r="G8" i="10"/>
  <c r="E8" i="10"/>
  <c r="J2" i="10"/>
  <c r="B2" i="10"/>
  <c r="I72" i="9"/>
  <c r="H72" i="9"/>
  <c r="G72" i="9"/>
  <c r="I71" i="9"/>
  <c r="C71" i="9"/>
  <c r="B71" i="9"/>
  <c r="L70" i="9"/>
  <c r="K70" i="9"/>
  <c r="J70" i="9"/>
  <c r="I70" i="9"/>
  <c r="H70" i="9"/>
  <c r="G70" i="9"/>
  <c r="F70" i="9"/>
  <c r="D70" i="9"/>
  <c r="C70" i="9"/>
  <c r="B70" i="9"/>
  <c r="I69" i="9"/>
  <c r="G69" i="9"/>
  <c r="M68" i="9"/>
  <c r="I68" i="9"/>
  <c r="I67" i="9"/>
  <c r="I66" i="9"/>
  <c r="M65" i="9"/>
  <c r="K65" i="9"/>
  <c r="I65" i="9"/>
  <c r="G65" i="9"/>
  <c r="I64" i="9"/>
  <c r="C64" i="9"/>
  <c r="I63" i="9"/>
  <c r="I62" i="9"/>
  <c r="I61" i="9"/>
  <c r="I60" i="9"/>
  <c r="G60" i="9"/>
  <c r="C60" i="9"/>
  <c r="I59" i="9"/>
  <c r="K58" i="9"/>
  <c r="I58" i="9"/>
  <c r="E58" i="9"/>
  <c r="I57" i="9"/>
  <c r="I56" i="9"/>
  <c r="G56" i="9"/>
  <c r="E56" i="9"/>
  <c r="I55" i="9"/>
  <c r="G55" i="9"/>
  <c r="I54" i="9"/>
  <c r="M53" i="9"/>
  <c r="K53" i="9"/>
  <c r="I53" i="9"/>
  <c r="G53" i="9"/>
  <c r="I52" i="9"/>
  <c r="G52" i="9"/>
  <c r="C52" i="9"/>
  <c r="M51" i="9"/>
  <c r="I51" i="9"/>
  <c r="I50" i="9"/>
  <c r="C50" i="9"/>
  <c r="I49" i="9"/>
  <c r="G49" i="9"/>
  <c r="I48" i="9"/>
  <c r="I47" i="9"/>
  <c r="G47" i="9"/>
  <c r="E47" i="9"/>
  <c r="C47" i="9"/>
  <c r="I46" i="9"/>
  <c r="K45" i="9"/>
  <c r="I45" i="9"/>
  <c r="K44" i="9"/>
  <c r="I44" i="9"/>
  <c r="G44" i="9"/>
  <c r="I43" i="9"/>
  <c r="C43" i="9"/>
  <c r="M41" i="9"/>
  <c r="L41" i="9"/>
  <c r="L71" i="9" s="1"/>
  <c r="K41" i="9"/>
  <c r="I41" i="9"/>
  <c r="F41" i="9"/>
  <c r="D41" i="9"/>
  <c r="D71" i="9" s="1"/>
  <c r="C41" i="9"/>
  <c r="M40" i="9"/>
  <c r="L40" i="9"/>
  <c r="J40" i="9"/>
  <c r="I40" i="9"/>
  <c r="H40" i="9"/>
  <c r="G40" i="9"/>
  <c r="F40" i="9"/>
  <c r="E40" i="9"/>
  <c r="D40" i="9"/>
  <c r="B40" i="9"/>
  <c r="I39" i="9"/>
  <c r="C39" i="9"/>
  <c r="I38" i="9"/>
  <c r="G38" i="9"/>
  <c r="E38" i="9"/>
  <c r="I37" i="9"/>
  <c r="K35" i="9"/>
  <c r="J35" i="9"/>
  <c r="J41" i="9" s="1"/>
  <c r="J71" i="9" s="1"/>
  <c r="I35" i="9"/>
  <c r="F35" i="9"/>
  <c r="B35" i="9"/>
  <c r="B41" i="9" s="1"/>
  <c r="L31" i="9"/>
  <c r="L35" i="9" s="1"/>
  <c r="J31" i="9"/>
  <c r="H31" i="9"/>
  <c r="H35" i="9" s="1"/>
  <c r="H41" i="9" s="1"/>
  <c r="H71" i="9" s="1"/>
  <c r="F31" i="9"/>
  <c r="D31" i="9"/>
  <c r="D35" i="9" s="1"/>
  <c r="B31" i="9"/>
  <c r="J20" i="9"/>
  <c r="J72" i="9" s="1"/>
  <c r="I20" i="9"/>
  <c r="H20" i="9"/>
  <c r="G20" i="9"/>
  <c r="K19" i="9"/>
  <c r="I19" i="9"/>
  <c r="M18" i="9"/>
  <c r="L18" i="9"/>
  <c r="M70" i="9" s="1"/>
  <c r="K18" i="9"/>
  <c r="J18" i="9"/>
  <c r="I18" i="9"/>
  <c r="H18" i="9"/>
  <c r="G18" i="9"/>
  <c r="F18" i="9"/>
  <c r="E18" i="9"/>
  <c r="D18" i="9"/>
  <c r="E70" i="9" s="1"/>
  <c r="C18" i="9"/>
  <c r="B18" i="9"/>
  <c r="I17" i="9"/>
  <c r="G17" i="9"/>
  <c r="C17" i="9"/>
  <c r="M16" i="9"/>
  <c r="K16" i="9"/>
  <c r="I16" i="9"/>
  <c r="I15" i="9"/>
  <c r="G15" i="9"/>
  <c r="M14" i="9"/>
  <c r="K14" i="9"/>
  <c r="I14" i="9"/>
  <c r="G14" i="9"/>
  <c r="C14" i="9"/>
  <c r="I13" i="9"/>
  <c r="G13" i="9"/>
  <c r="E13" i="9"/>
  <c r="I12" i="9"/>
  <c r="E12" i="9"/>
  <c r="C12" i="9"/>
  <c r="I11" i="9"/>
  <c r="G11" i="9"/>
  <c r="M10" i="9"/>
  <c r="K10" i="9"/>
  <c r="I10" i="9"/>
  <c r="G10" i="9"/>
  <c r="I9" i="9"/>
  <c r="G9" i="9"/>
  <c r="C9" i="9"/>
  <c r="M8" i="9"/>
  <c r="K8" i="9"/>
  <c r="I8" i="9"/>
  <c r="J2" i="9"/>
  <c r="B2" i="9"/>
  <c r="K80" i="8"/>
  <c r="L78" i="8"/>
  <c r="K78" i="8"/>
  <c r="J78" i="8"/>
  <c r="H78" i="8"/>
  <c r="F78" i="8"/>
  <c r="D78" i="8"/>
  <c r="C78" i="8"/>
  <c r="B78" i="8"/>
  <c r="M76" i="8"/>
  <c r="K76" i="8"/>
  <c r="K75" i="8"/>
  <c r="C75" i="8"/>
  <c r="C74" i="8"/>
  <c r="M73" i="8"/>
  <c r="K73" i="8"/>
  <c r="K72" i="8"/>
  <c r="I72" i="8"/>
  <c r="K71" i="8"/>
  <c r="C70" i="8"/>
  <c r="M69" i="8"/>
  <c r="K69" i="8"/>
  <c r="I68" i="8"/>
  <c r="K67" i="8"/>
  <c r="C66" i="8"/>
  <c r="M65" i="8"/>
  <c r="K65" i="8"/>
  <c r="C65" i="8"/>
  <c r="K63" i="8"/>
  <c r="C62" i="8"/>
  <c r="M61" i="8"/>
  <c r="K61" i="8"/>
  <c r="C61" i="8"/>
  <c r="M60" i="8"/>
  <c r="K60" i="8"/>
  <c r="K59" i="8"/>
  <c r="C59" i="8"/>
  <c r="M57" i="8"/>
  <c r="K57" i="8"/>
  <c r="C57" i="8"/>
  <c r="M56" i="8"/>
  <c r="K56" i="8"/>
  <c r="C55" i="8"/>
  <c r="K54" i="8"/>
  <c r="M53" i="8"/>
  <c r="K53" i="8"/>
  <c r="C53" i="8"/>
  <c r="M52" i="8"/>
  <c r="K52" i="8"/>
  <c r="C52" i="8"/>
  <c r="K51" i="8"/>
  <c r="C50" i="8"/>
  <c r="M49" i="8"/>
  <c r="K49" i="8"/>
  <c r="I48" i="8"/>
  <c r="C48" i="8"/>
  <c r="K46" i="8"/>
  <c r="C46" i="8"/>
  <c r="B46" i="8"/>
  <c r="B79" i="8" s="1"/>
  <c r="M45" i="8"/>
  <c r="L45" i="8"/>
  <c r="J45" i="8"/>
  <c r="H45" i="8"/>
  <c r="H46" i="8" s="1"/>
  <c r="H79" i="8" s="1"/>
  <c r="F45" i="8"/>
  <c r="F46" i="8" s="1"/>
  <c r="F79" i="8" s="1"/>
  <c r="D45" i="8"/>
  <c r="B45" i="8"/>
  <c r="K44" i="8"/>
  <c r="C44" i="8"/>
  <c r="K43" i="8"/>
  <c r="C42" i="8"/>
  <c r="M40" i="8"/>
  <c r="L40" i="8"/>
  <c r="L46" i="8" s="1"/>
  <c r="L79" i="8" s="1"/>
  <c r="K40" i="8"/>
  <c r="H40" i="8"/>
  <c r="C40" i="8"/>
  <c r="B40" i="8"/>
  <c r="L36" i="8"/>
  <c r="J36" i="8"/>
  <c r="J40" i="8" s="1"/>
  <c r="J46" i="8" s="1"/>
  <c r="J79" i="8" s="1"/>
  <c r="H36" i="8"/>
  <c r="F36" i="8"/>
  <c r="F40" i="8" s="1"/>
  <c r="D36" i="8"/>
  <c r="D40" i="8" s="1"/>
  <c r="D46" i="8" s="1"/>
  <c r="D79" i="8" s="1"/>
  <c r="B36" i="8"/>
  <c r="M26" i="8"/>
  <c r="L26" i="8"/>
  <c r="L80" i="8" s="1"/>
  <c r="J26" i="8"/>
  <c r="J80" i="8" s="1"/>
  <c r="L25" i="8"/>
  <c r="K25" i="8"/>
  <c r="J25" i="8"/>
  <c r="H25" i="8"/>
  <c r="F25" i="8"/>
  <c r="D25" i="8"/>
  <c r="C25" i="8"/>
  <c r="B25" i="8"/>
  <c r="B26" i="8" s="1"/>
  <c r="B80" i="8" s="1"/>
  <c r="M24" i="8"/>
  <c r="K24" i="8"/>
  <c r="M23" i="8"/>
  <c r="K23" i="8"/>
  <c r="I23" i="8"/>
  <c r="C23" i="8"/>
  <c r="L21" i="8"/>
  <c r="J21" i="8"/>
  <c r="H21" i="8"/>
  <c r="F21" i="8"/>
  <c r="G72" i="8" s="1"/>
  <c r="D21" i="8"/>
  <c r="C21" i="8"/>
  <c r="B21" i="8"/>
  <c r="K20" i="8"/>
  <c r="C20" i="8"/>
  <c r="M19" i="8"/>
  <c r="K19" i="8"/>
  <c r="K18" i="8"/>
  <c r="C18" i="8"/>
  <c r="K17" i="8"/>
  <c r="M16" i="8"/>
  <c r="K16" i="8"/>
  <c r="C16" i="8"/>
  <c r="M15" i="8"/>
  <c r="K15" i="8"/>
  <c r="C15" i="8"/>
  <c r="K14" i="8"/>
  <c r="I14" i="8"/>
  <c r="C14" i="8"/>
  <c r="C13" i="8"/>
  <c r="M12" i="8"/>
  <c r="K12" i="8"/>
  <c r="C12" i="8"/>
  <c r="K11" i="8"/>
  <c r="I11" i="8"/>
  <c r="C11" i="8"/>
  <c r="K10" i="8"/>
  <c r="K9" i="8"/>
  <c r="C9" i="8"/>
  <c r="M8" i="8"/>
  <c r="K8" i="8"/>
  <c r="J2" i="8"/>
  <c r="B2" i="8"/>
  <c r="E27" i="7"/>
  <c r="D27" i="7"/>
  <c r="B27" i="7"/>
  <c r="L26" i="7"/>
  <c r="J26" i="7"/>
  <c r="H26" i="7"/>
  <c r="F26" i="7"/>
  <c r="D26" i="7"/>
  <c r="C26" i="7"/>
  <c r="B26" i="7"/>
  <c r="L25" i="7"/>
  <c r="J25" i="7"/>
  <c r="H25" i="7"/>
  <c r="G25" i="7"/>
  <c r="F25" i="7"/>
  <c r="E25" i="7"/>
  <c r="D25" i="7"/>
  <c r="B25" i="7"/>
  <c r="L24" i="7"/>
  <c r="J24" i="7"/>
  <c r="H24" i="7"/>
  <c r="F24" i="7"/>
  <c r="D24" i="7"/>
  <c r="C24" i="7"/>
  <c r="B24" i="7"/>
  <c r="L23" i="7"/>
  <c r="J23" i="7"/>
  <c r="H23" i="7"/>
  <c r="G23" i="7"/>
  <c r="F23" i="7"/>
  <c r="E23" i="7"/>
  <c r="D23" i="7"/>
  <c r="B23" i="7"/>
  <c r="L22" i="7"/>
  <c r="J22" i="7"/>
  <c r="H22" i="7"/>
  <c r="F22" i="7"/>
  <c r="D22" i="7"/>
  <c r="B22" i="7"/>
  <c r="M20" i="7"/>
  <c r="L20" i="7"/>
  <c r="L24" i="4" s="1"/>
  <c r="J20" i="7"/>
  <c r="J24" i="3" s="1"/>
  <c r="H20" i="7"/>
  <c r="F20" i="7"/>
  <c r="F24" i="4" s="1"/>
  <c r="D20" i="7"/>
  <c r="B20" i="7"/>
  <c r="B24" i="3" s="1"/>
  <c r="I19" i="7"/>
  <c r="G19" i="7"/>
  <c r="E19" i="7"/>
  <c r="C19" i="7"/>
  <c r="E18" i="7"/>
  <c r="C18" i="7"/>
  <c r="M17" i="7"/>
  <c r="C17" i="7"/>
  <c r="I16" i="7"/>
  <c r="G16" i="7"/>
  <c r="C16" i="7"/>
  <c r="L13" i="7"/>
  <c r="M27" i="7" s="1"/>
  <c r="J13" i="7"/>
  <c r="H13" i="7"/>
  <c r="F13" i="7"/>
  <c r="D13" i="7"/>
  <c r="B13" i="7"/>
  <c r="G12" i="7"/>
  <c r="C12" i="7"/>
  <c r="E11" i="7"/>
  <c r="C11" i="7"/>
  <c r="G10" i="7"/>
  <c r="E10" i="7"/>
  <c r="C10" i="7"/>
  <c r="G9" i="7"/>
  <c r="C9" i="7"/>
  <c r="M8" i="7"/>
  <c r="G8" i="7"/>
  <c r="J2" i="7"/>
  <c r="B2" i="7"/>
  <c r="B105" i="6"/>
  <c r="L104" i="6"/>
  <c r="J104" i="6"/>
  <c r="H104" i="6"/>
  <c r="F104" i="6"/>
  <c r="D104" i="6"/>
  <c r="B104" i="6"/>
  <c r="I100" i="6"/>
  <c r="I97" i="6"/>
  <c r="I93" i="6"/>
  <c r="G86" i="6"/>
  <c r="G79" i="6"/>
  <c r="I72" i="6"/>
  <c r="G72" i="6"/>
  <c r="I68" i="6"/>
  <c r="G67" i="6"/>
  <c r="D65" i="6"/>
  <c r="D105" i="6" s="1"/>
  <c r="B65" i="6"/>
  <c r="L64" i="6"/>
  <c r="J64" i="6"/>
  <c r="H64" i="6"/>
  <c r="F64" i="6"/>
  <c r="D64" i="6"/>
  <c r="B64" i="6"/>
  <c r="L59" i="6"/>
  <c r="L65" i="6" s="1"/>
  <c r="L105" i="6" s="1"/>
  <c r="F59" i="6"/>
  <c r="F65" i="6" s="1"/>
  <c r="F105" i="6" s="1"/>
  <c r="D59" i="6"/>
  <c r="L55" i="6"/>
  <c r="J55" i="6"/>
  <c r="J59" i="6" s="1"/>
  <c r="J65" i="6" s="1"/>
  <c r="J105" i="6" s="1"/>
  <c r="H55" i="6"/>
  <c r="H59" i="6" s="1"/>
  <c r="H65" i="6" s="1"/>
  <c r="H105" i="6" s="1"/>
  <c r="F55" i="6"/>
  <c r="D55" i="6"/>
  <c r="B55" i="6"/>
  <c r="B59" i="6" s="1"/>
  <c r="I42" i="6"/>
  <c r="H42" i="6"/>
  <c r="H23" i="3" s="1"/>
  <c r="D42" i="6"/>
  <c r="L41" i="6"/>
  <c r="J41" i="6"/>
  <c r="I41" i="6"/>
  <c r="H41" i="6"/>
  <c r="F41" i="6"/>
  <c r="D41" i="6"/>
  <c r="B41" i="6"/>
  <c r="I39" i="6"/>
  <c r="L37" i="6"/>
  <c r="J37" i="6"/>
  <c r="I37" i="6"/>
  <c r="H37" i="6"/>
  <c r="F37" i="6"/>
  <c r="F42" i="6" s="1"/>
  <c r="D37" i="6"/>
  <c r="B37" i="6"/>
  <c r="G36" i="6"/>
  <c r="I32" i="6"/>
  <c r="L31" i="6"/>
  <c r="J31" i="6"/>
  <c r="H31" i="6"/>
  <c r="G31" i="6"/>
  <c r="F31" i="6"/>
  <c r="D31" i="6"/>
  <c r="B31" i="6"/>
  <c r="G30" i="6"/>
  <c r="G29" i="6"/>
  <c r="I27" i="6"/>
  <c r="G25" i="6"/>
  <c r="H23" i="6"/>
  <c r="H32" i="6" s="1"/>
  <c r="F23" i="6"/>
  <c r="F32" i="6" s="1"/>
  <c r="L21" i="6"/>
  <c r="J21" i="6"/>
  <c r="I21" i="6"/>
  <c r="H21" i="6"/>
  <c r="F21" i="6"/>
  <c r="D21" i="6"/>
  <c r="B21" i="6"/>
  <c r="I19" i="6"/>
  <c r="G18" i="6"/>
  <c r="I17" i="6"/>
  <c r="I16" i="6"/>
  <c r="L14" i="6"/>
  <c r="J14" i="6"/>
  <c r="I14" i="6"/>
  <c r="H14" i="6"/>
  <c r="G14" i="6"/>
  <c r="F14" i="6"/>
  <c r="D14" i="6"/>
  <c r="B14" i="6"/>
  <c r="I13" i="6"/>
  <c r="I11" i="6"/>
  <c r="G11" i="6"/>
  <c r="I9" i="6"/>
  <c r="J2" i="6"/>
  <c r="B2" i="6"/>
  <c r="M82" i="5"/>
  <c r="C81" i="5"/>
  <c r="M80" i="5"/>
  <c r="L80" i="5"/>
  <c r="J80" i="5"/>
  <c r="H80" i="5"/>
  <c r="F80" i="5"/>
  <c r="D80" i="5"/>
  <c r="B80" i="5"/>
  <c r="I76" i="5"/>
  <c r="M74" i="5"/>
  <c r="G74" i="5"/>
  <c r="I72" i="5"/>
  <c r="K71" i="5"/>
  <c r="G70" i="5"/>
  <c r="I68" i="5"/>
  <c r="I67" i="5"/>
  <c r="I65" i="5"/>
  <c r="I64" i="5"/>
  <c r="I63" i="5"/>
  <c r="G63" i="5"/>
  <c r="I61" i="5"/>
  <c r="I60" i="5"/>
  <c r="M59" i="5"/>
  <c r="K59" i="5"/>
  <c r="I58" i="5"/>
  <c r="I56" i="5"/>
  <c r="I54" i="5"/>
  <c r="I53" i="5"/>
  <c r="C53" i="5"/>
  <c r="M52" i="5"/>
  <c r="I51" i="5"/>
  <c r="I48" i="5"/>
  <c r="L47" i="5"/>
  <c r="J47" i="5"/>
  <c r="H47" i="5"/>
  <c r="F47" i="5"/>
  <c r="D47" i="5"/>
  <c r="B47" i="5"/>
  <c r="I45" i="5"/>
  <c r="B42" i="5"/>
  <c r="B48" i="5" s="1"/>
  <c r="B81" i="5" s="1"/>
  <c r="L38" i="5"/>
  <c r="L42" i="5" s="1"/>
  <c r="L48" i="5" s="1"/>
  <c r="L81" i="5" s="1"/>
  <c r="J38" i="5"/>
  <c r="J42" i="5" s="1"/>
  <c r="J48" i="5" s="1"/>
  <c r="J81" i="5" s="1"/>
  <c r="H38" i="5"/>
  <c r="H42" i="5" s="1"/>
  <c r="H48" i="5" s="1"/>
  <c r="H81" i="5" s="1"/>
  <c r="F38" i="5"/>
  <c r="F42" i="5" s="1"/>
  <c r="F48" i="5" s="1"/>
  <c r="F81" i="5" s="1"/>
  <c r="D38" i="5"/>
  <c r="D42" i="5" s="1"/>
  <c r="B38" i="5"/>
  <c r="L25" i="5"/>
  <c r="M76" i="5" s="1"/>
  <c r="J25" i="5"/>
  <c r="C25" i="5"/>
  <c r="B25" i="5"/>
  <c r="I24" i="5"/>
  <c r="I23" i="5"/>
  <c r="K22" i="5"/>
  <c r="M21" i="5"/>
  <c r="L21" i="5"/>
  <c r="J21" i="5"/>
  <c r="I21" i="5"/>
  <c r="H21" i="5"/>
  <c r="F21" i="5"/>
  <c r="D21" i="5"/>
  <c r="C21" i="5"/>
  <c r="B21" i="5"/>
  <c r="I19" i="5"/>
  <c r="G19" i="5"/>
  <c r="I17" i="5"/>
  <c r="I16" i="5"/>
  <c r="M14" i="5"/>
  <c r="L14" i="5"/>
  <c r="J14" i="5"/>
  <c r="H14" i="5"/>
  <c r="H25" i="5" s="1"/>
  <c r="G14" i="5"/>
  <c r="F14" i="5"/>
  <c r="F25" i="5" s="1"/>
  <c r="D14" i="5"/>
  <c r="D25" i="5" s="1"/>
  <c r="E76" i="5" s="1"/>
  <c r="C14" i="5"/>
  <c r="B14" i="5"/>
  <c r="I13" i="5"/>
  <c r="C13" i="5"/>
  <c r="K12" i="5"/>
  <c r="I12" i="5"/>
  <c r="I11" i="5"/>
  <c r="I10" i="5"/>
  <c r="I9" i="5"/>
  <c r="C9" i="5"/>
  <c r="J2" i="5"/>
  <c r="B2" i="5"/>
  <c r="L49" i="4"/>
  <c r="J49" i="4"/>
  <c r="H49" i="4"/>
  <c r="F49" i="4"/>
  <c r="D49" i="4"/>
  <c r="B49" i="4"/>
  <c r="L42" i="4"/>
  <c r="J42" i="4"/>
  <c r="H42" i="4"/>
  <c r="F42" i="4"/>
  <c r="D42" i="4"/>
  <c r="B42" i="4"/>
  <c r="L41" i="4"/>
  <c r="J41" i="4"/>
  <c r="H41" i="4"/>
  <c r="F41" i="4"/>
  <c r="F43" i="4" s="1"/>
  <c r="D41" i="4"/>
  <c r="B41" i="4"/>
  <c r="L40" i="4"/>
  <c r="J40" i="4"/>
  <c r="H40" i="4"/>
  <c r="F40" i="4"/>
  <c r="D40" i="4"/>
  <c r="B40" i="4"/>
  <c r="L39" i="4"/>
  <c r="J39" i="4"/>
  <c r="H39" i="4"/>
  <c r="H43" i="4" s="1"/>
  <c r="F39" i="4"/>
  <c r="D39" i="4"/>
  <c r="B39" i="4"/>
  <c r="L38" i="4"/>
  <c r="J38" i="4"/>
  <c r="H38" i="4"/>
  <c r="F38" i="4"/>
  <c r="D38" i="4"/>
  <c r="B38" i="4"/>
  <c r="L35" i="4"/>
  <c r="J35" i="4"/>
  <c r="H35" i="4"/>
  <c r="F35" i="4"/>
  <c r="D35" i="4"/>
  <c r="B35" i="4"/>
  <c r="L32" i="4"/>
  <c r="J32" i="4"/>
  <c r="H32" i="4"/>
  <c r="F32" i="4"/>
  <c r="D32" i="4"/>
  <c r="B32" i="4"/>
  <c r="L31" i="4"/>
  <c r="L33" i="4" s="1"/>
  <c r="J31" i="4"/>
  <c r="F31" i="4"/>
  <c r="D31" i="4"/>
  <c r="L30" i="4"/>
  <c r="J30" i="4"/>
  <c r="F30" i="4"/>
  <c r="D30" i="4"/>
  <c r="B30" i="4"/>
  <c r="L29" i="4"/>
  <c r="J29" i="4"/>
  <c r="H29" i="4"/>
  <c r="D29" i="4"/>
  <c r="D33" i="4" s="1"/>
  <c r="B29" i="4"/>
  <c r="L28" i="4"/>
  <c r="H28" i="4"/>
  <c r="F28" i="4"/>
  <c r="D28" i="4"/>
  <c r="B28" i="4"/>
  <c r="J24" i="4"/>
  <c r="H24" i="4"/>
  <c r="G24" i="4"/>
  <c r="E24" i="4"/>
  <c r="D24" i="4"/>
  <c r="C24" i="4"/>
  <c r="M22" i="4"/>
  <c r="L19" i="4"/>
  <c r="J19" i="4"/>
  <c r="H19" i="4"/>
  <c r="F19" i="4"/>
  <c r="D19" i="4"/>
  <c r="B19" i="4"/>
  <c r="L18" i="4"/>
  <c r="M24" i="4" s="1"/>
  <c r="F18" i="4"/>
  <c r="D18" i="4"/>
  <c r="B18" i="4"/>
  <c r="H17" i="4"/>
  <c r="I23" i="4" s="1"/>
  <c r="L16" i="4"/>
  <c r="H16" i="4"/>
  <c r="I22" i="4" s="1"/>
  <c r="L13" i="4"/>
  <c r="J13" i="4"/>
  <c r="H13" i="4"/>
  <c r="F13" i="4"/>
  <c r="D13" i="4"/>
  <c r="B13" i="4"/>
  <c r="L12" i="4"/>
  <c r="J12" i="4"/>
  <c r="H12" i="4"/>
  <c r="F12" i="4"/>
  <c r="D12" i="4"/>
  <c r="B12" i="4"/>
  <c r="L11" i="4"/>
  <c r="J11" i="4"/>
  <c r="H11" i="4"/>
  <c r="F11" i="4"/>
  <c r="D11" i="4"/>
  <c r="B11" i="4"/>
  <c r="L10" i="4"/>
  <c r="J10" i="4"/>
  <c r="H10" i="4"/>
  <c r="F10" i="4"/>
  <c r="D10" i="4"/>
  <c r="B10" i="4"/>
  <c r="J2" i="4"/>
  <c r="B2" i="4"/>
  <c r="J43" i="3"/>
  <c r="L42" i="3"/>
  <c r="J42" i="3"/>
  <c r="H42" i="3"/>
  <c r="F42" i="3"/>
  <c r="D42" i="3"/>
  <c r="B42" i="3"/>
  <c r="L41" i="3"/>
  <c r="J41" i="3"/>
  <c r="H41" i="3"/>
  <c r="F41" i="3"/>
  <c r="D41" i="3"/>
  <c r="B41" i="3"/>
  <c r="L40" i="3"/>
  <c r="J40" i="3"/>
  <c r="H40" i="3"/>
  <c r="F40" i="3"/>
  <c r="D40" i="3"/>
  <c r="B40" i="3"/>
  <c r="L39" i="3"/>
  <c r="J39" i="3"/>
  <c r="H39" i="3"/>
  <c r="H43" i="3" s="1"/>
  <c r="F39" i="3"/>
  <c r="D39" i="3"/>
  <c r="B39" i="3"/>
  <c r="B43" i="3" s="1"/>
  <c r="L38" i="3"/>
  <c r="L43" i="3" s="1"/>
  <c r="J38" i="3"/>
  <c r="H38" i="3"/>
  <c r="F38" i="3"/>
  <c r="D38" i="3"/>
  <c r="B38" i="3"/>
  <c r="L35" i="3"/>
  <c r="J35" i="3"/>
  <c r="H35" i="3"/>
  <c r="F35" i="3"/>
  <c r="D35" i="3"/>
  <c r="B35" i="3"/>
  <c r="L33" i="3"/>
  <c r="L32" i="3"/>
  <c r="J32" i="3"/>
  <c r="H32" i="3"/>
  <c r="F32" i="3"/>
  <c r="D32" i="3"/>
  <c r="B32" i="3"/>
  <c r="L31" i="3"/>
  <c r="J31" i="3"/>
  <c r="F31" i="3"/>
  <c r="D31" i="3"/>
  <c r="L30" i="3"/>
  <c r="J30" i="3"/>
  <c r="F30" i="3"/>
  <c r="D30" i="3"/>
  <c r="B30" i="3"/>
  <c r="L29" i="3"/>
  <c r="J29" i="3"/>
  <c r="H29" i="3"/>
  <c r="D29" i="3"/>
  <c r="B29" i="3"/>
  <c r="L28" i="3"/>
  <c r="H28" i="3"/>
  <c r="F28" i="3"/>
  <c r="D28" i="3"/>
  <c r="D33" i="3" s="1"/>
  <c r="B28" i="3"/>
  <c r="M24" i="3"/>
  <c r="L24" i="3"/>
  <c r="H24" i="3"/>
  <c r="F24" i="3"/>
  <c r="E24" i="3"/>
  <c r="D24" i="3"/>
  <c r="C24" i="3"/>
  <c r="I22" i="3"/>
  <c r="L19" i="3"/>
  <c r="J19" i="3"/>
  <c r="H19" i="3"/>
  <c r="F19" i="3"/>
  <c r="D19" i="3"/>
  <c r="B19" i="3"/>
  <c r="L18" i="3"/>
  <c r="J18" i="3"/>
  <c r="K24" i="3" s="1"/>
  <c r="D18" i="3"/>
  <c r="B18" i="3"/>
  <c r="F17" i="3"/>
  <c r="G23" i="3" s="1"/>
  <c r="H16" i="3"/>
  <c r="L13" i="3"/>
  <c r="J13" i="3"/>
  <c r="H13" i="3"/>
  <c r="F13" i="3"/>
  <c r="D13" i="3"/>
  <c r="B13" i="3"/>
  <c r="L12" i="3"/>
  <c r="J12" i="3"/>
  <c r="H12" i="3"/>
  <c r="F12" i="3"/>
  <c r="D12" i="3"/>
  <c r="B12" i="3"/>
  <c r="L11" i="3"/>
  <c r="J11" i="3"/>
  <c r="H11" i="3"/>
  <c r="F11" i="3"/>
  <c r="D11" i="3"/>
  <c r="B11" i="3"/>
  <c r="L10" i="3"/>
  <c r="J10" i="3"/>
  <c r="H10" i="3"/>
  <c r="F10" i="3"/>
  <c r="D10" i="3"/>
  <c r="B10" i="3"/>
  <c r="J2" i="3"/>
  <c r="B2" i="3"/>
  <c r="B22" i="3" l="1"/>
  <c r="B22" i="4"/>
  <c r="H22" i="4"/>
  <c r="H22" i="3"/>
  <c r="H25" i="3" s="1"/>
  <c r="L22" i="3"/>
  <c r="L22" i="4"/>
  <c r="D23" i="4"/>
  <c r="D23" i="3"/>
  <c r="J22" i="3"/>
  <c r="J22" i="4"/>
  <c r="E14" i="5"/>
  <c r="E16" i="5"/>
  <c r="J16" i="24"/>
  <c r="J82" i="5"/>
  <c r="J15" i="24" s="1"/>
  <c r="K78" i="5"/>
  <c r="K74" i="5"/>
  <c r="K70" i="5"/>
  <c r="K66" i="5"/>
  <c r="K62" i="5"/>
  <c r="K58" i="5"/>
  <c r="K54" i="5"/>
  <c r="K50" i="5"/>
  <c r="K18" i="5"/>
  <c r="K10" i="5"/>
  <c r="J16" i="4"/>
  <c r="K77" i="5"/>
  <c r="K73" i="5"/>
  <c r="K69" i="5"/>
  <c r="K65" i="5"/>
  <c r="K61" i="5"/>
  <c r="K57" i="5"/>
  <c r="K53" i="5"/>
  <c r="K46" i="5"/>
  <c r="K24" i="5"/>
  <c r="K17" i="5"/>
  <c r="K13" i="5"/>
  <c r="K9" i="5"/>
  <c r="K82" i="5"/>
  <c r="K80" i="5"/>
  <c r="K75" i="5"/>
  <c r="K20" i="5"/>
  <c r="K79" i="5"/>
  <c r="K55" i="5"/>
  <c r="K44" i="5"/>
  <c r="K68" i="5"/>
  <c r="K60" i="5"/>
  <c r="K51" i="5"/>
  <c r="K23" i="5"/>
  <c r="K64" i="5"/>
  <c r="K16" i="5"/>
  <c r="K11" i="5"/>
  <c r="E45" i="5"/>
  <c r="K48" i="5"/>
  <c r="J16" i="3"/>
  <c r="E18" i="5"/>
  <c r="B16" i="24"/>
  <c r="B82" i="5"/>
  <c r="B15" i="24" s="1"/>
  <c r="C76" i="5"/>
  <c r="C72" i="5"/>
  <c r="C68" i="5"/>
  <c r="C64" i="5"/>
  <c r="C60" i="5"/>
  <c r="C56" i="5"/>
  <c r="C52" i="5"/>
  <c r="C45" i="5"/>
  <c r="C23" i="5"/>
  <c r="C20" i="5"/>
  <c r="C16" i="5"/>
  <c r="C12" i="5"/>
  <c r="B16" i="4"/>
  <c r="C79" i="5"/>
  <c r="C75" i="5"/>
  <c r="C71" i="5"/>
  <c r="C67" i="5"/>
  <c r="C63" i="5"/>
  <c r="C59" i="5"/>
  <c r="C55" i="5"/>
  <c r="C51" i="5"/>
  <c r="C44" i="5"/>
  <c r="C22" i="5"/>
  <c r="C19" i="5"/>
  <c r="C11" i="5"/>
  <c r="C78" i="5"/>
  <c r="C65" i="5"/>
  <c r="C17" i="5"/>
  <c r="C69" i="5"/>
  <c r="C61" i="5"/>
  <c r="C54" i="5"/>
  <c r="C24" i="5"/>
  <c r="C77" i="5"/>
  <c r="C57" i="5"/>
  <c r="C50" i="5"/>
  <c r="C48" i="5"/>
  <c r="C46" i="5"/>
  <c r="C73" i="5"/>
  <c r="C10" i="5"/>
  <c r="B16" i="3"/>
  <c r="F22" i="4"/>
  <c r="F22" i="3"/>
  <c r="M42" i="5"/>
  <c r="K52" i="5"/>
  <c r="E55" i="5"/>
  <c r="E62" i="5"/>
  <c r="C66" i="5"/>
  <c r="E70" i="5"/>
  <c r="M78" i="5"/>
  <c r="E82" i="5"/>
  <c r="G11" i="8"/>
  <c r="G14" i="8"/>
  <c r="G64" i="8"/>
  <c r="E9" i="5"/>
  <c r="E19" i="5"/>
  <c r="E44" i="5"/>
  <c r="E47" i="5"/>
  <c r="E56" i="5"/>
  <c r="E66" i="5"/>
  <c r="E79" i="5"/>
  <c r="E21" i="5"/>
  <c r="D16" i="24"/>
  <c r="E81" i="5"/>
  <c r="E77" i="5"/>
  <c r="E73" i="5"/>
  <c r="E69" i="5"/>
  <c r="E65" i="5"/>
  <c r="E63" i="5"/>
  <c r="E61" i="5"/>
  <c r="E54" i="5"/>
  <c r="E24" i="5"/>
  <c r="E12" i="5"/>
  <c r="D16" i="3"/>
  <c r="E67" i="5"/>
  <c r="E52" i="5"/>
  <c r="E10" i="5"/>
  <c r="E75" i="5"/>
  <c r="E42" i="5"/>
  <c r="E71" i="5"/>
  <c r="E59" i="5"/>
  <c r="E57" i="5"/>
  <c r="E50" i="5"/>
  <c r="E48" i="5"/>
  <c r="E46" i="5"/>
  <c r="E25" i="5"/>
  <c r="E22" i="5"/>
  <c r="E20" i="5"/>
  <c r="L43" i="4"/>
  <c r="M9" i="5"/>
  <c r="M12" i="5"/>
  <c r="F16" i="24"/>
  <c r="G77" i="5"/>
  <c r="G73" i="5"/>
  <c r="G69" i="5"/>
  <c r="G65" i="5"/>
  <c r="G61" i="5"/>
  <c r="G57" i="5"/>
  <c r="G53" i="5"/>
  <c r="G46" i="5"/>
  <c r="G24" i="5"/>
  <c r="G17" i="5"/>
  <c r="G13" i="5"/>
  <c r="G9" i="5"/>
  <c r="F16" i="3"/>
  <c r="G76" i="5"/>
  <c r="G72" i="5"/>
  <c r="G68" i="5"/>
  <c r="G64" i="5"/>
  <c r="G60" i="5"/>
  <c r="G56" i="5"/>
  <c r="G52" i="5"/>
  <c r="G45" i="5"/>
  <c r="G23" i="5"/>
  <c r="G20" i="5"/>
  <c r="G16" i="5"/>
  <c r="G12" i="5"/>
  <c r="G67" i="5"/>
  <c r="G48" i="5"/>
  <c r="G10" i="5"/>
  <c r="G71" i="5"/>
  <c r="G59" i="5"/>
  <c r="G50" i="5"/>
  <c r="G25" i="5"/>
  <c r="G22" i="5"/>
  <c r="G21" i="5"/>
  <c r="G80" i="5"/>
  <c r="G79" i="5"/>
  <c r="G66" i="5"/>
  <c r="G55" i="5"/>
  <c r="G44" i="5"/>
  <c r="G82" i="5"/>
  <c r="G81" i="5"/>
  <c r="G75" i="5"/>
  <c r="G47" i="5"/>
  <c r="G42" i="5"/>
  <c r="G18" i="5"/>
  <c r="F16" i="4"/>
  <c r="F82" i="5"/>
  <c r="F15" i="24" s="1"/>
  <c r="G62" i="5"/>
  <c r="M22" i="5"/>
  <c r="K25" i="5"/>
  <c r="M48" i="5"/>
  <c r="E53" i="5"/>
  <c r="K56" i="5"/>
  <c r="E60" i="5"/>
  <c r="K63" i="5"/>
  <c r="K67" i="5"/>
  <c r="E72" i="5"/>
  <c r="C80" i="5"/>
  <c r="I17" i="7"/>
  <c r="I9" i="7"/>
  <c r="I27" i="7"/>
  <c r="I25" i="7"/>
  <c r="I23" i="7"/>
  <c r="I20" i="7"/>
  <c r="I18" i="7"/>
  <c r="I10" i="7"/>
  <c r="I26" i="7"/>
  <c r="I11" i="7"/>
  <c r="I15" i="7"/>
  <c r="I8" i="7"/>
  <c r="H27" i="7"/>
  <c r="I24" i="7"/>
  <c r="H18" i="3"/>
  <c r="I24" i="3" s="1"/>
  <c r="I22" i="7"/>
  <c r="H18" i="4"/>
  <c r="I24" i="4" s="1"/>
  <c r="I13" i="7"/>
  <c r="E76" i="8"/>
  <c r="E72" i="8"/>
  <c r="E68" i="8"/>
  <c r="E64" i="8"/>
  <c r="E60" i="8"/>
  <c r="E56" i="8"/>
  <c r="E52" i="8"/>
  <c r="E48" i="8"/>
  <c r="E23" i="8"/>
  <c r="E19" i="8"/>
  <c r="E15" i="8"/>
  <c r="E11" i="8"/>
  <c r="E78" i="8"/>
  <c r="E77" i="8"/>
  <c r="E73" i="8"/>
  <c r="E69" i="8"/>
  <c r="E65" i="8"/>
  <c r="E61" i="8"/>
  <c r="E57" i="8"/>
  <c r="E53" i="8"/>
  <c r="E49" i="8"/>
  <c r="E46" i="8"/>
  <c r="E42" i="8"/>
  <c r="E25" i="8"/>
  <c r="E24" i="8"/>
  <c r="E21" i="8"/>
  <c r="E20" i="8"/>
  <c r="E16" i="8"/>
  <c r="E12" i="8"/>
  <c r="E8" i="8"/>
  <c r="E71" i="8"/>
  <c r="E58" i="8"/>
  <c r="E54" i="8"/>
  <c r="E17" i="8"/>
  <c r="E10" i="8"/>
  <c r="E75" i="8"/>
  <c r="E62" i="8"/>
  <c r="E63" i="8"/>
  <c r="E51" i="8"/>
  <c r="E43" i="8"/>
  <c r="E14" i="8"/>
  <c r="E67" i="8"/>
  <c r="E79" i="8"/>
  <c r="E26" i="8"/>
  <c r="E13" i="8"/>
  <c r="E40" i="8"/>
  <c r="E74" i="8"/>
  <c r="E44" i="8"/>
  <c r="D26" i="8"/>
  <c r="D80" i="8" s="1"/>
  <c r="E70" i="8"/>
  <c r="E66" i="8"/>
  <c r="E50" i="8"/>
  <c r="E18" i="8"/>
  <c r="E59" i="8"/>
  <c r="E9" i="8"/>
  <c r="E55" i="8"/>
  <c r="E45" i="8"/>
  <c r="G48" i="8"/>
  <c r="H23" i="4"/>
  <c r="E17" i="5"/>
  <c r="K19" i="5"/>
  <c r="E23" i="5"/>
  <c r="K45" i="5"/>
  <c r="M50" i="5"/>
  <c r="M56" i="5"/>
  <c r="E64" i="5"/>
  <c r="E68" i="5"/>
  <c r="K76" i="5"/>
  <c r="K27" i="7"/>
  <c r="K25" i="7"/>
  <c r="K23" i="7"/>
  <c r="K20" i="7"/>
  <c r="K13" i="7"/>
  <c r="K24" i="7"/>
  <c r="K18" i="7"/>
  <c r="J18" i="4"/>
  <c r="K24" i="4" s="1"/>
  <c r="K16" i="7"/>
  <c r="K9" i="7"/>
  <c r="J27" i="7"/>
  <c r="K26" i="7"/>
  <c r="K11" i="7"/>
  <c r="K8" i="7"/>
  <c r="K10" i="7"/>
  <c r="K15" i="7"/>
  <c r="K12" i="7"/>
  <c r="K19" i="7"/>
  <c r="K17" i="7"/>
  <c r="D43" i="4"/>
  <c r="M10" i="5"/>
  <c r="E13" i="5"/>
  <c r="M19" i="5"/>
  <c r="M25" i="5"/>
  <c r="C42" i="5"/>
  <c r="M45" i="5"/>
  <c r="K47" i="5"/>
  <c r="E51" i="5"/>
  <c r="G54" i="5"/>
  <c r="C58" i="5"/>
  <c r="K72" i="5"/>
  <c r="E80" i="5"/>
  <c r="K81" i="5"/>
  <c r="F18" i="24"/>
  <c r="G64" i="6"/>
  <c r="G43" i="6"/>
  <c r="G41" i="6"/>
  <c r="G37" i="6"/>
  <c r="G32" i="6"/>
  <c r="G106" i="6"/>
  <c r="G104" i="6"/>
  <c r="G103" i="6"/>
  <c r="G96" i="6"/>
  <c r="G89" i="6"/>
  <c r="G87" i="6"/>
  <c r="G80" i="6"/>
  <c r="G73" i="6"/>
  <c r="G71" i="6"/>
  <c r="G28" i="6"/>
  <c r="G17" i="6"/>
  <c r="G13" i="6"/>
  <c r="G9" i="6"/>
  <c r="F17" i="4"/>
  <c r="G23" i="4" s="1"/>
  <c r="G105" i="6"/>
  <c r="G94" i="6"/>
  <c r="G78" i="6"/>
  <c r="G65" i="6"/>
  <c r="G63" i="6"/>
  <c r="G59" i="6"/>
  <c r="G35" i="6"/>
  <c r="G100" i="6"/>
  <c r="G93" i="6"/>
  <c r="G91" i="6"/>
  <c r="G84" i="6"/>
  <c r="G77" i="6"/>
  <c r="G75" i="6"/>
  <c r="G68" i="6"/>
  <c r="G62" i="6"/>
  <c r="G40" i="6"/>
  <c r="G27" i="6"/>
  <c r="G20" i="6"/>
  <c r="G16" i="6"/>
  <c r="G12" i="6"/>
  <c r="G98" i="6"/>
  <c r="G82" i="6"/>
  <c r="G74" i="6"/>
  <c r="G42" i="6"/>
  <c r="G39" i="6"/>
  <c r="G95" i="6"/>
  <c r="G88" i="6"/>
  <c r="G81" i="6"/>
  <c r="G21" i="6"/>
  <c r="G101" i="6"/>
  <c r="G102" i="6"/>
  <c r="G70" i="6"/>
  <c r="G61" i="6"/>
  <c r="F43" i="6"/>
  <c r="F106" i="6" s="1"/>
  <c r="F17" i="24" s="1"/>
  <c r="G22" i="6"/>
  <c r="G83" i="6"/>
  <c r="G76" i="6"/>
  <c r="G69" i="6"/>
  <c r="G26" i="6"/>
  <c r="G97" i="6"/>
  <c r="K22" i="7"/>
  <c r="L16" i="24"/>
  <c r="M81" i="5"/>
  <c r="M79" i="5"/>
  <c r="M75" i="5"/>
  <c r="M71" i="5"/>
  <c r="M67" i="5"/>
  <c r="M63" i="5"/>
  <c r="L82" i="5"/>
  <c r="L15" i="24" s="1"/>
  <c r="M73" i="5"/>
  <c r="M57" i="5"/>
  <c r="M55" i="5"/>
  <c r="M46" i="5"/>
  <c r="M44" i="5"/>
  <c r="M18" i="5"/>
  <c r="M77" i="5"/>
  <c r="M64" i="5"/>
  <c r="M62" i="5"/>
  <c r="M16" i="5"/>
  <c r="M13" i="5"/>
  <c r="M11" i="5"/>
  <c r="L16" i="3"/>
  <c r="M72" i="5"/>
  <c r="M70" i="5"/>
  <c r="M58" i="5"/>
  <c r="M68" i="5"/>
  <c r="M66" i="5"/>
  <c r="M60" i="5"/>
  <c r="M53" i="5"/>
  <c r="M51" i="5"/>
  <c r="M23" i="5"/>
  <c r="G78" i="8"/>
  <c r="G46" i="8"/>
  <c r="G25" i="8"/>
  <c r="G21" i="8"/>
  <c r="G77" i="8"/>
  <c r="G73" i="8"/>
  <c r="G69" i="8"/>
  <c r="G65" i="8"/>
  <c r="G61" i="8"/>
  <c r="G57" i="8"/>
  <c r="G80" i="8"/>
  <c r="G40" i="8"/>
  <c r="G75" i="8"/>
  <c r="G62" i="8"/>
  <c r="G56" i="8"/>
  <c r="G26" i="8"/>
  <c r="G24" i="8"/>
  <c r="G8" i="8"/>
  <c r="G66" i="8"/>
  <c r="G60" i="8"/>
  <c r="G52" i="8"/>
  <c r="G50" i="8"/>
  <c r="G44" i="8"/>
  <c r="F26" i="8"/>
  <c r="F80" i="8" s="1"/>
  <c r="G15" i="8"/>
  <c r="G13" i="8"/>
  <c r="G67" i="8"/>
  <c r="G49" i="8"/>
  <c r="G12" i="8"/>
  <c r="G71" i="8"/>
  <c r="G58" i="8"/>
  <c r="G54" i="8"/>
  <c r="G19" i="8"/>
  <c r="G17" i="8"/>
  <c r="G10" i="8"/>
  <c r="G74" i="8"/>
  <c r="G23" i="8"/>
  <c r="G70" i="8"/>
  <c r="G51" i="8"/>
  <c r="G18" i="8"/>
  <c r="G20" i="8"/>
  <c r="G63" i="8"/>
  <c r="G53" i="8"/>
  <c r="G59" i="8"/>
  <c r="G45" i="8"/>
  <c r="G9" i="8"/>
  <c r="G55" i="8"/>
  <c r="G43" i="8"/>
  <c r="G76" i="8"/>
  <c r="G42" i="8"/>
  <c r="E11" i="5"/>
  <c r="M17" i="5"/>
  <c r="M20" i="5"/>
  <c r="G51" i="5"/>
  <c r="E58" i="5"/>
  <c r="M61" i="5"/>
  <c r="M69" i="5"/>
  <c r="C74" i="5"/>
  <c r="E78" i="5"/>
  <c r="G10" i="6"/>
  <c r="G23" i="6"/>
  <c r="G90" i="6"/>
  <c r="G68" i="8"/>
  <c r="G79" i="8"/>
  <c r="D43" i="3"/>
  <c r="D16" i="4"/>
  <c r="G11" i="5"/>
  <c r="K14" i="5"/>
  <c r="C18" i="5"/>
  <c r="K21" i="5"/>
  <c r="M24" i="5"/>
  <c r="K42" i="5"/>
  <c r="C47" i="5"/>
  <c r="M47" i="5"/>
  <c r="M54" i="5"/>
  <c r="G58" i="5"/>
  <c r="C62" i="5"/>
  <c r="M65" i="5"/>
  <c r="C70" i="5"/>
  <c r="E74" i="5"/>
  <c r="G78" i="5"/>
  <c r="C82" i="5"/>
  <c r="G19" i="6"/>
  <c r="F23" i="3"/>
  <c r="F23" i="4"/>
  <c r="G85" i="6"/>
  <c r="G92" i="6"/>
  <c r="G99" i="6"/>
  <c r="I12" i="7"/>
  <c r="G16" i="8"/>
  <c r="E80" i="8"/>
  <c r="I80" i="8"/>
  <c r="I77" i="8"/>
  <c r="I73" i="8"/>
  <c r="I69" i="8"/>
  <c r="I65" i="8"/>
  <c r="I61" i="8"/>
  <c r="I57" i="8"/>
  <c r="I53" i="8"/>
  <c r="I49" i="8"/>
  <c r="I42" i="8"/>
  <c r="I40" i="8"/>
  <c r="I24" i="8"/>
  <c r="I20" i="8"/>
  <c r="I16" i="8"/>
  <c r="I12" i="8"/>
  <c r="I8" i="8"/>
  <c r="I74" i="8"/>
  <c r="I70" i="8"/>
  <c r="I66" i="8"/>
  <c r="I62" i="8"/>
  <c r="I58" i="8"/>
  <c r="I54" i="8"/>
  <c r="I50" i="8"/>
  <c r="I45" i="8"/>
  <c r="I43" i="8"/>
  <c r="I26" i="8"/>
  <c r="I17" i="8"/>
  <c r="I13" i="8"/>
  <c r="I9" i="8"/>
  <c r="I60" i="8"/>
  <c r="I52" i="8"/>
  <c r="I46" i="8"/>
  <c r="I44" i="8"/>
  <c r="I25" i="8"/>
  <c r="I15" i="8"/>
  <c r="I79" i="8"/>
  <c r="I78" i="8"/>
  <c r="I64" i="8"/>
  <c r="I71" i="8"/>
  <c r="I19" i="8"/>
  <c r="I10" i="8"/>
  <c r="I75" i="8"/>
  <c r="I56" i="8"/>
  <c r="H26" i="8"/>
  <c r="H80" i="8" s="1"/>
  <c r="I21" i="8"/>
  <c r="I76" i="8"/>
  <c r="K54" i="10"/>
  <c r="K50" i="10"/>
  <c r="K46" i="10"/>
  <c r="K42" i="10"/>
  <c r="K38" i="10"/>
  <c r="K34" i="10"/>
  <c r="K27" i="10"/>
  <c r="K8" i="10"/>
  <c r="K51" i="10"/>
  <c r="K47" i="10"/>
  <c r="K43" i="10"/>
  <c r="K39" i="10"/>
  <c r="K35" i="10"/>
  <c r="K28" i="10"/>
  <c r="J14" i="10"/>
  <c r="J57" i="10" s="1"/>
  <c r="K9" i="10"/>
  <c r="K44" i="10"/>
  <c r="K49" i="10"/>
  <c r="K52" i="10"/>
  <c r="K37" i="10"/>
  <c r="K31" i="10"/>
  <c r="K41" i="10"/>
  <c r="K29" i="10"/>
  <c r="K25" i="10"/>
  <c r="K53" i="10"/>
  <c r="K48" i="10"/>
  <c r="K55" i="10"/>
  <c r="K33" i="10"/>
  <c r="K10" i="10"/>
  <c r="K12" i="10"/>
  <c r="K56" i="10"/>
  <c r="K45" i="10"/>
  <c r="K30" i="10"/>
  <c r="K40" i="10"/>
  <c r="K36" i="10"/>
  <c r="K13" i="10"/>
  <c r="K57" i="10"/>
  <c r="K14" i="10"/>
  <c r="K11" i="10"/>
  <c r="H18" i="24"/>
  <c r="I106" i="6"/>
  <c r="I104" i="6"/>
  <c r="I102" i="6"/>
  <c r="I98" i="6"/>
  <c r="I94" i="6"/>
  <c r="I90" i="6"/>
  <c r="I86" i="6"/>
  <c r="I82" i="6"/>
  <c r="I78" i="6"/>
  <c r="I74" i="6"/>
  <c r="I70" i="6"/>
  <c r="I63" i="6"/>
  <c r="I40" i="6"/>
  <c r="I36" i="6"/>
  <c r="I103" i="6"/>
  <c r="I99" i="6"/>
  <c r="I95" i="6"/>
  <c r="I91" i="6"/>
  <c r="I87" i="6"/>
  <c r="I83" i="6"/>
  <c r="I79" i="6"/>
  <c r="I75" i="6"/>
  <c r="I71" i="6"/>
  <c r="I67" i="6"/>
  <c r="I65" i="6"/>
  <c r="I43" i="6"/>
  <c r="I35" i="6"/>
  <c r="I101" i="6"/>
  <c r="I92" i="6"/>
  <c r="I85" i="6"/>
  <c r="I76" i="6"/>
  <c r="I69" i="6"/>
  <c r="I64" i="6"/>
  <c r="I61" i="6"/>
  <c r="H43" i="6"/>
  <c r="H106" i="6" s="1"/>
  <c r="H17" i="24" s="1"/>
  <c r="I31" i="6"/>
  <c r="I29" i="6"/>
  <c r="I25" i="6"/>
  <c r="I23" i="6"/>
  <c r="I18" i="6"/>
  <c r="I10" i="6"/>
  <c r="I105" i="6"/>
  <c r="I96" i="6"/>
  <c r="I89" i="6"/>
  <c r="I80" i="6"/>
  <c r="I73" i="6"/>
  <c r="I59" i="6"/>
  <c r="I28" i="6"/>
  <c r="I30" i="6"/>
  <c r="J42" i="6"/>
  <c r="I55" i="8"/>
  <c r="B24" i="4"/>
  <c r="H16" i="24"/>
  <c r="I80" i="5"/>
  <c r="I78" i="5"/>
  <c r="I74" i="5"/>
  <c r="I70" i="5"/>
  <c r="I66" i="5"/>
  <c r="I82" i="5"/>
  <c r="D48" i="5"/>
  <c r="D81" i="5" s="1"/>
  <c r="D82" i="5" s="1"/>
  <c r="D15" i="24" s="1"/>
  <c r="I44" i="5"/>
  <c r="I55" i="5"/>
  <c r="I62" i="5"/>
  <c r="I77" i="5"/>
  <c r="I79" i="5"/>
  <c r="B19" i="24"/>
  <c r="B23" i="6"/>
  <c r="B32" i="6" s="1"/>
  <c r="I26" i="6"/>
  <c r="B42" i="6"/>
  <c r="L42" i="6"/>
  <c r="I77" i="6"/>
  <c r="I84" i="6"/>
  <c r="M12" i="7"/>
  <c r="I59" i="8"/>
  <c r="C52" i="10"/>
  <c r="C48" i="10"/>
  <c r="C44" i="10"/>
  <c r="C40" i="10"/>
  <c r="C36" i="10"/>
  <c r="C29" i="10"/>
  <c r="C13" i="10"/>
  <c r="C10" i="10"/>
  <c r="C53" i="10"/>
  <c r="C49" i="10"/>
  <c r="C45" i="10"/>
  <c r="C41" i="10"/>
  <c r="C37" i="10"/>
  <c r="C33" i="10"/>
  <c r="B14" i="10"/>
  <c r="B57" i="10" s="1"/>
  <c r="C11" i="10"/>
  <c r="C43" i="10"/>
  <c r="C38" i="10"/>
  <c r="C31" i="10"/>
  <c r="C8" i="10"/>
  <c r="C51" i="10"/>
  <c r="C46" i="10"/>
  <c r="C50" i="10"/>
  <c r="C28" i="10"/>
  <c r="C34" i="10"/>
  <c r="C27" i="10"/>
  <c r="C57" i="10"/>
  <c r="C55" i="10"/>
  <c r="C42" i="10"/>
  <c r="C9" i="10"/>
  <c r="C14" i="10"/>
  <c r="C12" i="10"/>
  <c r="C39" i="10"/>
  <c r="C35" i="10"/>
  <c r="C30" i="10"/>
  <c r="C54" i="10"/>
  <c r="C25" i="10"/>
  <c r="C56" i="10"/>
  <c r="C47" i="10"/>
  <c r="J19" i="24"/>
  <c r="J23" i="6"/>
  <c r="J32" i="6" s="1"/>
  <c r="M18" i="7"/>
  <c r="M13" i="7"/>
  <c r="M10" i="7"/>
  <c r="M26" i="7"/>
  <c r="M24" i="7"/>
  <c r="M22" i="7"/>
  <c r="M19" i="7"/>
  <c r="M15" i="7"/>
  <c r="M11" i="7"/>
  <c r="M23" i="7"/>
  <c r="M16" i="7"/>
  <c r="M9" i="7"/>
  <c r="M25" i="7"/>
  <c r="H17" i="3"/>
  <c r="I23" i="3" s="1"/>
  <c r="B43" i="4"/>
  <c r="J43" i="4"/>
  <c r="I14" i="5"/>
  <c r="I18" i="5"/>
  <c r="I20" i="5"/>
  <c r="I46" i="5"/>
  <c r="I57" i="5"/>
  <c r="I73" i="5"/>
  <c r="I75" i="5"/>
  <c r="I81" i="5"/>
  <c r="H82" i="5"/>
  <c r="H15" i="24" s="1"/>
  <c r="L19" i="24"/>
  <c r="L23" i="6"/>
  <c r="L32" i="6" s="1"/>
  <c r="I22" i="6"/>
  <c r="I62" i="6"/>
  <c r="I63" i="8"/>
  <c r="I67" i="8"/>
  <c r="M63" i="9"/>
  <c r="L27" i="7"/>
  <c r="F43" i="3"/>
  <c r="I22" i="5"/>
  <c r="I25" i="5"/>
  <c r="I42" i="5"/>
  <c r="I47" i="5"/>
  <c r="I50" i="5"/>
  <c r="I52" i="5"/>
  <c r="I59" i="5"/>
  <c r="I69" i="5"/>
  <c r="I71" i="5"/>
  <c r="I12" i="6"/>
  <c r="D19" i="24"/>
  <c r="D23" i="6"/>
  <c r="D32" i="6" s="1"/>
  <c r="I20" i="6"/>
  <c r="I81" i="6"/>
  <c r="I88" i="6"/>
  <c r="I18" i="8"/>
  <c r="I51" i="8"/>
  <c r="E72" i="9"/>
  <c r="E71" i="9"/>
  <c r="E68" i="9"/>
  <c r="E61" i="9"/>
  <c r="E59" i="9"/>
  <c r="E54" i="9"/>
  <c r="E51" i="9"/>
  <c r="E48" i="9"/>
  <c r="E45" i="9"/>
  <c r="E37" i="9"/>
  <c r="E19" i="9"/>
  <c r="E8" i="9"/>
  <c r="E66" i="9"/>
  <c r="E35" i="9"/>
  <c r="E20" i="9"/>
  <c r="E17" i="9"/>
  <c r="E14" i="9"/>
  <c r="E11" i="9"/>
  <c r="E64" i="9"/>
  <c r="E50" i="9"/>
  <c r="E41" i="9"/>
  <c r="E39" i="9"/>
  <c r="E69" i="9"/>
  <c r="E52" i="9"/>
  <c r="E43" i="9"/>
  <c r="E15" i="9"/>
  <c r="E9" i="9"/>
  <c r="E63" i="9"/>
  <c r="E60" i="9"/>
  <c r="E55" i="9"/>
  <c r="D20" i="9"/>
  <c r="D72" i="9" s="1"/>
  <c r="E67" i="9"/>
  <c r="E65" i="9"/>
  <c r="E62" i="9"/>
  <c r="E57" i="9"/>
  <c r="E53" i="9"/>
  <c r="E46" i="9"/>
  <c r="E44" i="9"/>
  <c r="E16" i="9"/>
  <c r="E10" i="9"/>
  <c r="M64" i="9"/>
  <c r="M52" i="9"/>
  <c r="M49" i="9"/>
  <c r="M46" i="9"/>
  <c r="M43" i="9"/>
  <c r="M38" i="9"/>
  <c r="M69" i="9"/>
  <c r="M62" i="9"/>
  <c r="M55" i="9"/>
  <c r="M15" i="9"/>
  <c r="M12" i="9"/>
  <c r="M9" i="9"/>
  <c r="M60" i="9"/>
  <c r="M44" i="9"/>
  <c r="M72" i="9"/>
  <c r="M61" i="9"/>
  <c r="M56" i="9"/>
  <c r="M54" i="9"/>
  <c r="L20" i="9"/>
  <c r="L72" i="9" s="1"/>
  <c r="M17" i="9"/>
  <c r="M13" i="9"/>
  <c r="M66" i="9"/>
  <c r="M58" i="9"/>
  <c r="M47" i="9"/>
  <c r="M45" i="9"/>
  <c r="M35" i="9"/>
  <c r="M19" i="9"/>
  <c r="M71" i="9"/>
  <c r="M67" i="9"/>
  <c r="M57" i="9"/>
  <c r="M50" i="9"/>
  <c r="M48" i="9"/>
  <c r="M39" i="9"/>
  <c r="M37" i="9"/>
  <c r="M59" i="9"/>
  <c r="M20" i="9"/>
  <c r="M11" i="9"/>
  <c r="E49" i="9"/>
  <c r="G26" i="7"/>
  <c r="G24" i="7"/>
  <c r="G22" i="7"/>
  <c r="G15" i="7"/>
  <c r="C79" i="8"/>
  <c r="C45" i="8"/>
  <c r="C26" i="8"/>
  <c r="C76" i="8"/>
  <c r="C72" i="8"/>
  <c r="C68" i="8"/>
  <c r="C64" i="8"/>
  <c r="C60" i="8"/>
  <c r="C56" i="8"/>
  <c r="M74" i="8"/>
  <c r="M70" i="8"/>
  <c r="M66" i="8"/>
  <c r="M62" i="8"/>
  <c r="M58" i="8"/>
  <c r="M54" i="8"/>
  <c r="M50" i="8"/>
  <c r="M43" i="8"/>
  <c r="M17" i="8"/>
  <c r="M13" i="8"/>
  <c r="M9" i="8"/>
  <c r="M78" i="8"/>
  <c r="M75" i="8"/>
  <c r="M71" i="8"/>
  <c r="M67" i="8"/>
  <c r="M63" i="8"/>
  <c r="M59" i="8"/>
  <c r="M55" i="8"/>
  <c r="M51" i="8"/>
  <c r="M46" i="8"/>
  <c r="M44" i="8"/>
  <c r="M25" i="8"/>
  <c r="M21" i="8"/>
  <c r="M18" i="8"/>
  <c r="M14" i="8"/>
  <c r="M10" i="8"/>
  <c r="C43" i="8"/>
  <c r="C49" i="8"/>
  <c r="C51" i="8"/>
  <c r="C63" i="8"/>
  <c r="M64" i="8"/>
  <c r="C69" i="8"/>
  <c r="M77" i="8"/>
  <c r="C80" i="8"/>
  <c r="C69" i="9"/>
  <c r="C65" i="9"/>
  <c r="C61" i="9"/>
  <c r="C57" i="9"/>
  <c r="C53" i="9"/>
  <c r="C49" i="9"/>
  <c r="C45" i="9"/>
  <c r="C38" i="9"/>
  <c r="C15" i="9"/>
  <c r="C11" i="9"/>
  <c r="C66" i="9"/>
  <c r="C62" i="9"/>
  <c r="C58" i="9"/>
  <c r="C63" i="9"/>
  <c r="C56" i="9"/>
  <c r="C16" i="9"/>
  <c r="C13" i="9"/>
  <c r="C10" i="9"/>
  <c r="C40" i="9"/>
  <c r="C72" i="9"/>
  <c r="C68" i="9"/>
  <c r="C59" i="9"/>
  <c r="C54" i="9"/>
  <c r="C51" i="9"/>
  <c r="C48" i="9"/>
  <c r="C37" i="9"/>
  <c r="C19" i="9"/>
  <c r="C8" i="9"/>
  <c r="K67" i="9"/>
  <c r="K63" i="9"/>
  <c r="K59" i="9"/>
  <c r="K55" i="9"/>
  <c r="K51" i="9"/>
  <c r="K47" i="9"/>
  <c r="K43" i="9"/>
  <c r="K17" i="9"/>
  <c r="K13" i="9"/>
  <c r="K9" i="9"/>
  <c r="K68" i="9"/>
  <c r="K64" i="9"/>
  <c r="K60" i="9"/>
  <c r="K56" i="9"/>
  <c r="K66" i="9"/>
  <c r="K57" i="9"/>
  <c r="K52" i="9"/>
  <c r="K49" i="9"/>
  <c r="K46" i="9"/>
  <c r="K40" i="9"/>
  <c r="K38" i="9"/>
  <c r="K69" i="9"/>
  <c r="K62" i="9"/>
  <c r="K15" i="9"/>
  <c r="K12" i="9"/>
  <c r="C20" i="9"/>
  <c r="C35" i="9"/>
  <c r="K37" i="9"/>
  <c r="K39" i="9"/>
  <c r="K48" i="9"/>
  <c r="K50" i="9"/>
  <c r="C55" i="9"/>
  <c r="K71" i="9"/>
  <c r="I14" i="10"/>
  <c r="H19" i="24"/>
  <c r="G13" i="7"/>
  <c r="G17" i="7"/>
  <c r="G20" i="7"/>
  <c r="I57" i="10"/>
  <c r="I55" i="10"/>
  <c r="I41" i="10"/>
  <c r="I39" i="10"/>
  <c r="I34" i="10"/>
  <c r="I29" i="10"/>
  <c r="I25" i="10"/>
  <c r="I9" i="10"/>
  <c r="I54" i="10"/>
  <c r="I44" i="10"/>
  <c r="I27" i="10"/>
  <c r="I49" i="10"/>
  <c r="I47" i="10"/>
  <c r="I42" i="10"/>
  <c r="I56" i="10"/>
  <c r="I53" i="10"/>
  <c r="I51" i="10"/>
  <c r="I46" i="10"/>
  <c r="I36" i="10"/>
  <c r="H14" i="10"/>
  <c r="H57" i="10" s="1"/>
  <c r="I11" i="10"/>
  <c r="I13" i="10"/>
  <c r="I30" i="10"/>
  <c r="I38" i="10"/>
  <c r="I40" i="10"/>
  <c r="E22" i="12"/>
  <c r="I50" i="10"/>
  <c r="E15" i="12"/>
  <c r="E11" i="12"/>
  <c r="E24" i="12"/>
  <c r="E10" i="12"/>
  <c r="E18" i="12"/>
  <c r="E16" i="12"/>
  <c r="E23" i="12"/>
  <c r="E19" i="12"/>
  <c r="E8" i="12"/>
  <c r="D25" i="12"/>
  <c r="E13" i="12"/>
  <c r="E12" i="12"/>
  <c r="E17" i="12"/>
  <c r="E25" i="12"/>
  <c r="G11" i="7"/>
  <c r="C27" i="7"/>
  <c r="C25" i="7"/>
  <c r="C23" i="7"/>
  <c r="C20" i="7"/>
  <c r="C13" i="7"/>
  <c r="C15" i="7"/>
  <c r="G18" i="7"/>
  <c r="F27" i="7"/>
  <c r="C8" i="8"/>
  <c r="C10" i="8"/>
  <c r="C17" i="8"/>
  <c r="K45" i="8"/>
  <c r="K26" i="8"/>
  <c r="K79" i="8"/>
  <c r="K74" i="8"/>
  <c r="K70" i="8"/>
  <c r="K66" i="8"/>
  <c r="K62" i="8"/>
  <c r="K58" i="8"/>
  <c r="C24" i="8"/>
  <c r="K42" i="8"/>
  <c r="K48" i="8"/>
  <c r="C54" i="8"/>
  <c r="K55" i="8"/>
  <c r="C58" i="8"/>
  <c r="K68" i="8"/>
  <c r="C71" i="8"/>
  <c r="M72" i="8"/>
  <c r="C77" i="8"/>
  <c r="M80" i="8"/>
  <c r="K20" i="9"/>
  <c r="K54" i="9"/>
  <c r="K61" i="9"/>
  <c r="K72" i="9"/>
  <c r="I35" i="10"/>
  <c r="I48" i="10"/>
  <c r="F18" i="3"/>
  <c r="G24" i="3" s="1"/>
  <c r="F19" i="24"/>
  <c r="C8" i="7"/>
  <c r="E16" i="7"/>
  <c r="E13" i="7"/>
  <c r="E12" i="7"/>
  <c r="E8" i="7"/>
  <c r="E26" i="7"/>
  <c r="E24" i="7"/>
  <c r="E22" i="7"/>
  <c r="E17" i="7"/>
  <c r="E9" i="7"/>
  <c r="E15" i="7"/>
  <c r="E20" i="7"/>
  <c r="C22" i="7"/>
  <c r="G27" i="7"/>
  <c r="M11" i="8"/>
  <c r="K13" i="8"/>
  <c r="C19" i="8"/>
  <c r="M20" i="8"/>
  <c r="K21" i="8"/>
  <c r="M42" i="8"/>
  <c r="M48" i="8"/>
  <c r="K50" i="8"/>
  <c r="K64" i="8"/>
  <c r="C67" i="8"/>
  <c r="M68" i="8"/>
  <c r="C73" i="8"/>
  <c r="K77" i="8"/>
  <c r="M79" i="8"/>
  <c r="K11" i="9"/>
  <c r="B20" i="9"/>
  <c r="B72" i="9" s="1"/>
  <c r="F71" i="9"/>
  <c r="C44" i="9"/>
  <c r="C46" i="9"/>
  <c r="C67" i="9"/>
  <c r="J65" i="14"/>
  <c r="G66" i="9"/>
  <c r="G62" i="9"/>
  <c r="G58" i="9"/>
  <c r="G54" i="9"/>
  <c r="G50" i="9"/>
  <c r="G46" i="9"/>
  <c r="G39" i="9"/>
  <c r="F20" i="9"/>
  <c r="F72" i="9" s="1"/>
  <c r="G19" i="9"/>
  <c r="G16" i="9"/>
  <c r="G12" i="9"/>
  <c r="G8" i="9"/>
  <c r="G67" i="9"/>
  <c r="G63" i="9"/>
  <c r="G59" i="9"/>
  <c r="G41" i="9"/>
  <c r="G43" i="9"/>
  <c r="G57" i="9"/>
  <c r="G64" i="9"/>
  <c r="D57" i="10"/>
  <c r="L57" i="10"/>
  <c r="I55" i="11"/>
  <c r="I53" i="11"/>
  <c r="I51" i="11"/>
  <c r="I47" i="11"/>
  <c r="I43" i="11"/>
  <c r="I39" i="11"/>
  <c r="I35" i="11"/>
  <c r="I31" i="11"/>
  <c r="I29" i="11"/>
  <c r="H12" i="11"/>
  <c r="H55" i="11" s="1"/>
  <c r="I11" i="11"/>
  <c r="I25" i="11"/>
  <c r="I33" i="11"/>
  <c r="I37" i="11"/>
  <c r="I41" i="11"/>
  <c r="I45" i="11"/>
  <c r="I49" i="11"/>
  <c r="G35" i="9"/>
  <c r="G37" i="9"/>
  <c r="G45" i="9"/>
  <c r="G48" i="9"/>
  <c r="G51" i="9"/>
  <c r="G61" i="9"/>
  <c r="G68" i="9"/>
  <c r="G71" i="9"/>
  <c r="H31" i="10"/>
  <c r="H56" i="10" s="1"/>
  <c r="I8" i="11"/>
  <c r="I27" i="11"/>
  <c r="B23" i="17"/>
  <c r="B57" i="17" s="1"/>
  <c r="K11" i="11"/>
  <c r="C25" i="11"/>
  <c r="K27" i="11"/>
  <c r="C32" i="11"/>
  <c r="K34" i="11"/>
  <c r="C36" i="11"/>
  <c r="K38" i="11"/>
  <c r="C40" i="11"/>
  <c r="K42" i="11"/>
  <c r="C44" i="11"/>
  <c r="K46" i="11"/>
  <c r="C48" i="11"/>
  <c r="K50" i="11"/>
  <c r="C52" i="11"/>
  <c r="C9" i="12"/>
  <c r="C12" i="12"/>
  <c r="C17" i="12"/>
  <c r="C9" i="11"/>
  <c r="B12" i="11"/>
  <c r="B55" i="11" s="1"/>
  <c r="J12" i="11"/>
  <c r="J55" i="11" s="1"/>
  <c r="K26" i="11"/>
  <c r="C31" i="11"/>
  <c r="K33" i="11"/>
  <c r="C35" i="11"/>
  <c r="K37" i="11"/>
  <c r="C39" i="11"/>
  <c r="K41" i="11"/>
  <c r="C43" i="11"/>
  <c r="K45" i="11"/>
  <c r="C47" i="11"/>
  <c r="K49" i="11"/>
  <c r="C51" i="11"/>
  <c r="M10" i="12"/>
  <c r="I16" i="12"/>
  <c r="I12" i="12"/>
  <c r="I8" i="12"/>
  <c r="I21" i="12"/>
  <c r="C23" i="12"/>
  <c r="I24" i="12"/>
  <c r="H25" i="12"/>
  <c r="G33" i="10"/>
  <c r="G37" i="10"/>
  <c r="G41" i="10"/>
  <c r="G45" i="10"/>
  <c r="G49" i="10"/>
  <c r="C8" i="11"/>
  <c r="C11" i="11"/>
  <c r="K25" i="11"/>
  <c r="C27" i="11"/>
  <c r="G31" i="11"/>
  <c r="K32" i="11"/>
  <c r="C34" i="11"/>
  <c r="G35" i="11"/>
  <c r="K36" i="11"/>
  <c r="C38" i="11"/>
  <c r="G39" i="11"/>
  <c r="K40" i="11"/>
  <c r="C42" i="11"/>
  <c r="G43" i="11"/>
  <c r="K44" i="11"/>
  <c r="C46" i="11"/>
  <c r="G47" i="11"/>
  <c r="K48" i="11"/>
  <c r="K52" i="11"/>
  <c r="K24" i="12"/>
  <c r="K22" i="12"/>
  <c r="K19" i="12"/>
  <c r="K17" i="12"/>
  <c r="C16" i="12"/>
  <c r="K21" i="12"/>
  <c r="J25" i="12"/>
  <c r="H23" i="16"/>
  <c r="H57" i="16" s="1"/>
  <c r="C24" i="12"/>
  <c r="C22" i="12"/>
  <c r="C19" i="12"/>
  <c r="C15" i="12"/>
  <c r="C21" i="12"/>
  <c r="C13" i="12"/>
  <c r="M17" i="12"/>
  <c r="M9" i="12"/>
  <c r="M21" i="12"/>
  <c r="B25" i="12"/>
  <c r="L25" i="12"/>
  <c r="F25" i="15"/>
  <c r="F68" i="15" s="1"/>
  <c r="H23" i="17"/>
  <c r="H57" i="17" s="1"/>
  <c r="D33" i="20"/>
  <c r="J26" i="22"/>
  <c r="J56" i="22" s="1"/>
  <c r="J58" i="22" s="1"/>
  <c r="G16" i="12"/>
  <c r="F25" i="12"/>
  <c r="G13" i="12"/>
  <c r="G21" i="12"/>
  <c r="G23" i="12"/>
  <c r="F33" i="20"/>
  <c r="B57" i="21"/>
  <c r="B56" i="22"/>
  <c r="B58" i="22" s="1"/>
  <c r="F57" i="21"/>
  <c r="H23" i="21"/>
  <c r="H45" i="21" s="1"/>
  <c r="H49" i="21" s="1"/>
  <c r="H57" i="21"/>
  <c r="B66" i="22"/>
  <c r="L33" i="20"/>
  <c r="J57" i="21"/>
  <c r="H66" i="22"/>
  <c r="F48" i="23"/>
  <c r="J66" i="22"/>
  <c r="K22" i="3" l="1"/>
  <c r="F29" i="4"/>
  <c r="F33" i="4" s="1"/>
  <c r="F29" i="3"/>
  <c r="F33" i="3" s="1"/>
  <c r="L18" i="24"/>
  <c r="M105" i="6"/>
  <c r="M103" i="6"/>
  <c r="M99" i="6"/>
  <c r="M95" i="6"/>
  <c r="M91" i="6"/>
  <c r="M87" i="6"/>
  <c r="M83" i="6"/>
  <c r="M79" i="6"/>
  <c r="M75" i="6"/>
  <c r="M71" i="6"/>
  <c r="M67" i="6"/>
  <c r="M59" i="6"/>
  <c r="M100" i="6"/>
  <c r="M96" i="6"/>
  <c r="M92" i="6"/>
  <c r="M88" i="6"/>
  <c r="M84" i="6"/>
  <c r="M80" i="6"/>
  <c r="M76" i="6"/>
  <c r="M72" i="6"/>
  <c r="M68" i="6"/>
  <c r="M64" i="6"/>
  <c r="M61" i="6"/>
  <c r="M97" i="6"/>
  <c r="M90" i="6"/>
  <c r="M81" i="6"/>
  <c r="M74" i="6"/>
  <c r="M41" i="6"/>
  <c r="M39" i="6"/>
  <c r="M36" i="6"/>
  <c r="M30" i="6"/>
  <c r="M26" i="6"/>
  <c r="M22" i="6"/>
  <c r="M19" i="6"/>
  <c r="M14" i="6"/>
  <c r="M11" i="6"/>
  <c r="M37" i="6"/>
  <c r="M35" i="6"/>
  <c r="M31" i="6"/>
  <c r="M101" i="6"/>
  <c r="M94" i="6"/>
  <c r="M85" i="6"/>
  <c r="M78" i="6"/>
  <c r="M69" i="6"/>
  <c r="M63" i="6"/>
  <c r="M42" i="6"/>
  <c r="M102" i="6"/>
  <c r="M77" i="6"/>
  <c r="M70" i="6"/>
  <c r="M43" i="6"/>
  <c r="L43" i="6"/>
  <c r="L106" i="6" s="1"/>
  <c r="L17" i="24" s="1"/>
  <c r="M32" i="6"/>
  <c r="M23" i="6"/>
  <c r="M98" i="6"/>
  <c r="M73" i="6"/>
  <c r="M65" i="6"/>
  <c r="M28" i="6"/>
  <c r="M17" i="6"/>
  <c r="M9" i="6"/>
  <c r="L17" i="4"/>
  <c r="M13" i="6"/>
  <c r="M62" i="6"/>
  <c r="M40" i="6"/>
  <c r="M10" i="6"/>
  <c r="M27" i="6"/>
  <c r="M18" i="6"/>
  <c r="M89" i="6"/>
  <c r="M82" i="6"/>
  <c r="M12" i="6"/>
  <c r="M104" i="6"/>
  <c r="M93" i="6"/>
  <c r="L17" i="3"/>
  <c r="M23" i="3" s="1"/>
  <c r="M25" i="6"/>
  <c r="M21" i="6"/>
  <c r="M20" i="6"/>
  <c r="M106" i="6"/>
  <c r="M29" i="6"/>
  <c r="M16" i="6"/>
  <c r="M86" i="6"/>
  <c r="L23" i="3"/>
  <c r="L25" i="3" s="1"/>
  <c r="L23" i="4"/>
  <c r="L25" i="4"/>
  <c r="B23" i="4"/>
  <c r="B23" i="3"/>
  <c r="F20" i="4"/>
  <c r="G22" i="4"/>
  <c r="E22" i="3"/>
  <c r="F25" i="3"/>
  <c r="H30" i="3"/>
  <c r="H33" i="3" s="1"/>
  <c r="H30" i="4"/>
  <c r="H31" i="4"/>
  <c r="H31" i="3"/>
  <c r="D22" i="3"/>
  <c r="D25" i="3" s="1"/>
  <c r="D22" i="4"/>
  <c r="D25" i="4" s="1"/>
  <c r="M22" i="3"/>
  <c r="L20" i="3"/>
  <c r="F20" i="3"/>
  <c r="G22" i="3"/>
  <c r="F25" i="4"/>
  <c r="J18" i="24"/>
  <c r="K65" i="6"/>
  <c r="K42" i="6"/>
  <c r="K31" i="6"/>
  <c r="K105" i="6"/>
  <c r="K59" i="6"/>
  <c r="K101" i="6"/>
  <c r="K94" i="6"/>
  <c r="K92" i="6"/>
  <c r="K85" i="6"/>
  <c r="K78" i="6"/>
  <c r="K76" i="6"/>
  <c r="K69" i="6"/>
  <c r="K63" i="6"/>
  <c r="K61" i="6"/>
  <c r="K37" i="6"/>
  <c r="K29" i="6"/>
  <c r="K25" i="6"/>
  <c r="K18" i="6"/>
  <c r="K10" i="6"/>
  <c r="J17" i="3"/>
  <c r="K23" i="3" s="1"/>
  <c r="K99" i="6"/>
  <c r="K83" i="6"/>
  <c r="K67" i="6"/>
  <c r="K21" i="6"/>
  <c r="K98" i="6"/>
  <c r="K96" i="6"/>
  <c r="K89" i="6"/>
  <c r="K82" i="6"/>
  <c r="K80" i="6"/>
  <c r="K73" i="6"/>
  <c r="K43" i="6"/>
  <c r="K28" i="6"/>
  <c r="K17" i="6"/>
  <c r="K13" i="6"/>
  <c r="K9" i="6"/>
  <c r="K104" i="6"/>
  <c r="K103" i="6"/>
  <c r="K87" i="6"/>
  <c r="K71" i="6"/>
  <c r="K64" i="6"/>
  <c r="J43" i="6"/>
  <c r="J106" i="6" s="1"/>
  <c r="J17" i="24" s="1"/>
  <c r="K95" i="6"/>
  <c r="K62" i="6"/>
  <c r="K22" i="6"/>
  <c r="K102" i="6"/>
  <c r="K84" i="6"/>
  <c r="K77" i="6"/>
  <c r="K70" i="6"/>
  <c r="K26" i="6"/>
  <c r="K32" i="6"/>
  <c r="K91" i="6"/>
  <c r="K30" i="6"/>
  <c r="K23" i="6"/>
  <c r="K19" i="6"/>
  <c r="K14" i="6"/>
  <c r="K11" i="6"/>
  <c r="K90" i="6"/>
  <c r="K72" i="6"/>
  <c r="K36" i="6"/>
  <c r="K97" i="6"/>
  <c r="K106" i="6"/>
  <c r="K41" i="6"/>
  <c r="K40" i="6"/>
  <c r="J17" i="4"/>
  <c r="K23" i="4" s="1"/>
  <c r="K68" i="6"/>
  <c r="K39" i="6"/>
  <c r="K27" i="6"/>
  <c r="K75" i="6"/>
  <c r="K88" i="6"/>
  <c r="K81" i="6"/>
  <c r="K74" i="6"/>
  <c r="K12" i="6"/>
  <c r="K79" i="6"/>
  <c r="K100" i="6"/>
  <c r="K93" i="6"/>
  <c r="K86" i="6"/>
  <c r="K20" i="6"/>
  <c r="K35" i="6"/>
  <c r="K16" i="6"/>
  <c r="B18" i="24"/>
  <c r="C65" i="6"/>
  <c r="C42" i="6"/>
  <c r="C105" i="6"/>
  <c r="C100" i="6"/>
  <c r="C98" i="6"/>
  <c r="C91" i="6"/>
  <c r="C84" i="6"/>
  <c r="C82" i="6"/>
  <c r="C75" i="6"/>
  <c r="C68" i="6"/>
  <c r="C40" i="6"/>
  <c r="C27" i="6"/>
  <c r="C20" i="6"/>
  <c r="C16" i="6"/>
  <c r="C12" i="6"/>
  <c r="B17" i="3"/>
  <c r="C23" i="3" s="1"/>
  <c r="C89" i="6"/>
  <c r="C73" i="6"/>
  <c r="C21" i="6"/>
  <c r="C102" i="6"/>
  <c r="C95" i="6"/>
  <c r="C88" i="6"/>
  <c r="C86" i="6"/>
  <c r="C79" i="6"/>
  <c r="C72" i="6"/>
  <c r="C70" i="6"/>
  <c r="B43" i="6"/>
  <c r="B106" i="6" s="1"/>
  <c r="B17" i="24" s="1"/>
  <c r="C30" i="6"/>
  <c r="C26" i="6"/>
  <c r="C22" i="6"/>
  <c r="C19" i="6"/>
  <c r="C11" i="6"/>
  <c r="C93" i="6"/>
  <c r="C77" i="6"/>
  <c r="C62" i="6"/>
  <c r="C106" i="6"/>
  <c r="C85" i="6"/>
  <c r="C59" i="6"/>
  <c r="C35" i="6"/>
  <c r="C31" i="6"/>
  <c r="C25" i="6"/>
  <c r="C99" i="6"/>
  <c r="C92" i="6"/>
  <c r="C74" i="6"/>
  <c r="C67" i="6"/>
  <c r="C39" i="6"/>
  <c r="C37" i="6"/>
  <c r="C29" i="6"/>
  <c r="C18" i="6"/>
  <c r="C14" i="6"/>
  <c r="C10" i="6"/>
  <c r="C81" i="6"/>
  <c r="C41" i="6"/>
  <c r="C94" i="6"/>
  <c r="C87" i="6"/>
  <c r="C80" i="6"/>
  <c r="C78" i="6"/>
  <c r="C71" i="6"/>
  <c r="C28" i="6"/>
  <c r="B17" i="4"/>
  <c r="C23" i="4" s="1"/>
  <c r="C69" i="6"/>
  <c r="C61" i="6"/>
  <c r="C17" i="6"/>
  <c r="C104" i="6"/>
  <c r="C90" i="6"/>
  <c r="C83" i="6"/>
  <c r="C76" i="6"/>
  <c r="C13" i="6"/>
  <c r="C97" i="6"/>
  <c r="C32" i="6"/>
  <c r="C9" i="6"/>
  <c r="C103" i="6"/>
  <c r="C96" i="6"/>
  <c r="C43" i="6"/>
  <c r="C23" i="6"/>
  <c r="C101" i="6"/>
  <c r="C64" i="6"/>
  <c r="C36" i="6"/>
  <c r="C63" i="6"/>
  <c r="C22" i="3"/>
  <c r="B20" i="3"/>
  <c r="H20" i="3"/>
  <c r="H25" i="4"/>
  <c r="J23" i="4"/>
  <c r="J23" i="3"/>
  <c r="J25" i="3" s="1"/>
  <c r="K22" i="4"/>
  <c r="J25" i="4"/>
  <c r="D18" i="24"/>
  <c r="E105" i="6"/>
  <c r="E101" i="6"/>
  <c r="E97" i="6"/>
  <c r="E93" i="6"/>
  <c r="E89" i="6"/>
  <c r="E85" i="6"/>
  <c r="E81" i="6"/>
  <c r="E77" i="6"/>
  <c r="E73" i="6"/>
  <c r="E69" i="6"/>
  <c r="E62" i="6"/>
  <c r="E59" i="6"/>
  <c r="E39" i="6"/>
  <c r="E35" i="6"/>
  <c r="E102" i="6"/>
  <c r="E98" i="6"/>
  <c r="E94" i="6"/>
  <c r="E90" i="6"/>
  <c r="E86" i="6"/>
  <c r="E82" i="6"/>
  <c r="E78" i="6"/>
  <c r="E74" i="6"/>
  <c r="E70" i="6"/>
  <c r="E64" i="6"/>
  <c r="E63" i="6"/>
  <c r="E41" i="6"/>
  <c r="E106" i="6"/>
  <c r="E103" i="6"/>
  <c r="E96" i="6"/>
  <c r="E87" i="6"/>
  <c r="E80" i="6"/>
  <c r="E71" i="6"/>
  <c r="E28" i="6"/>
  <c r="E17" i="6"/>
  <c r="E14" i="6"/>
  <c r="E13" i="6"/>
  <c r="E9" i="6"/>
  <c r="E42" i="6"/>
  <c r="E100" i="6"/>
  <c r="E91" i="6"/>
  <c r="E84" i="6"/>
  <c r="E75" i="6"/>
  <c r="E68" i="6"/>
  <c r="E40" i="6"/>
  <c r="E99" i="6"/>
  <c r="E92" i="6"/>
  <c r="E67" i="6"/>
  <c r="E29" i="6"/>
  <c r="E27" i="6"/>
  <c r="E18" i="6"/>
  <c r="E16" i="6"/>
  <c r="E10" i="6"/>
  <c r="E20" i="6"/>
  <c r="E12" i="6"/>
  <c r="D17" i="4"/>
  <c r="E23" i="4" s="1"/>
  <c r="E22" i="6"/>
  <c r="E95" i="6"/>
  <c r="E88" i="6"/>
  <c r="E104" i="6"/>
  <c r="E61" i="6"/>
  <c r="E43" i="6"/>
  <c r="E21" i="6"/>
  <c r="D17" i="3"/>
  <c r="E23" i="3" s="1"/>
  <c r="E83" i="6"/>
  <c r="E76" i="6"/>
  <c r="E37" i="6"/>
  <c r="E32" i="6"/>
  <c r="E31" i="6"/>
  <c r="E19" i="6"/>
  <c r="D43" i="6"/>
  <c r="D106" i="6" s="1"/>
  <c r="D17" i="24" s="1"/>
  <c r="E23" i="6"/>
  <c r="E26" i="6"/>
  <c r="E65" i="6"/>
  <c r="E36" i="6"/>
  <c r="E30" i="6"/>
  <c r="E79" i="6"/>
  <c r="E72" i="6"/>
  <c r="E25" i="6"/>
  <c r="E11" i="6"/>
  <c r="B25" i="4"/>
  <c r="B31" i="3"/>
  <c r="B33" i="3" s="1"/>
  <c r="B31" i="4"/>
  <c r="B33" i="4" s="1"/>
  <c r="J28" i="4"/>
  <c r="J33" i="4" s="1"/>
  <c r="J28" i="3"/>
  <c r="J33" i="3" s="1"/>
  <c r="E22" i="4"/>
  <c r="B20" i="4"/>
  <c r="C22" i="4"/>
  <c r="H20" i="4"/>
  <c r="H26" i="4" s="1"/>
  <c r="B25" i="3"/>
  <c r="F28" i="24" l="1"/>
  <c r="G44" i="23"/>
  <c r="G40" i="23"/>
  <c r="G36" i="23"/>
  <c r="G32" i="23"/>
  <c r="G28" i="23"/>
  <c r="G20" i="23"/>
  <c r="G12" i="23"/>
  <c r="G8" i="23"/>
  <c r="G64" i="22"/>
  <c r="G60" i="22"/>
  <c r="G54" i="22"/>
  <c r="G50" i="22"/>
  <c r="G46" i="22"/>
  <c r="G42" i="22"/>
  <c r="G38" i="22"/>
  <c r="G34" i="22"/>
  <c r="G30" i="22"/>
  <c r="F25" i="24"/>
  <c r="F21" i="24"/>
  <c r="G45" i="23"/>
  <c r="G41" i="23"/>
  <c r="G37" i="23"/>
  <c r="G33" i="23"/>
  <c r="G29" i="23"/>
  <c r="G21" i="23"/>
  <c r="G13" i="23"/>
  <c r="G9" i="23"/>
  <c r="G61" i="22"/>
  <c r="G57" i="22"/>
  <c r="G51" i="22"/>
  <c r="G47" i="22"/>
  <c r="G43" i="22"/>
  <c r="G39" i="22"/>
  <c r="G35" i="22"/>
  <c r="G31" i="22"/>
  <c r="G47" i="23"/>
  <c r="G66" i="22"/>
  <c r="G56" i="22"/>
  <c r="F22" i="24"/>
  <c r="G24" i="23"/>
  <c r="G16" i="23"/>
  <c r="G26" i="22"/>
  <c r="G39" i="23"/>
  <c r="G31" i="23"/>
  <c r="G19" i="23"/>
  <c r="G15" i="23"/>
  <c r="G24" i="22"/>
  <c r="G22" i="22"/>
  <c r="G52" i="21"/>
  <c r="G48" i="21"/>
  <c r="G41" i="21"/>
  <c r="G37" i="21"/>
  <c r="G33" i="21"/>
  <c r="G29" i="21"/>
  <c r="G25" i="21"/>
  <c r="G29" i="20"/>
  <c r="G25" i="20"/>
  <c r="G28" i="22"/>
  <c r="G25" i="22"/>
  <c r="G23" i="21"/>
  <c r="G15" i="20"/>
  <c r="G58" i="22"/>
  <c r="G55" i="22"/>
  <c r="G48" i="22"/>
  <c r="G40" i="22"/>
  <c r="G32" i="22"/>
  <c r="G53" i="21"/>
  <c r="G42" i="21"/>
  <c r="G38" i="21"/>
  <c r="G34" i="21"/>
  <c r="G30" i="21"/>
  <c r="G26" i="21"/>
  <c r="G19" i="21"/>
  <c r="G30" i="20"/>
  <c r="G46" i="23"/>
  <c r="G38" i="23"/>
  <c r="G30" i="23"/>
  <c r="G18" i="23"/>
  <c r="G14" i="23"/>
  <c r="G65" i="22"/>
  <c r="G53" i="22"/>
  <c r="G45" i="22"/>
  <c r="G37" i="22"/>
  <c r="G8" i="22"/>
  <c r="G44" i="21"/>
  <c r="G17" i="21"/>
  <c r="G32" i="20"/>
  <c r="G35" i="23"/>
  <c r="G49" i="22"/>
  <c r="G33" i="22"/>
  <c r="G23" i="22"/>
  <c r="G55" i="21"/>
  <c r="G47" i="21"/>
  <c r="G31" i="20"/>
  <c r="G26" i="20"/>
  <c r="G18" i="20"/>
  <c r="G56" i="17"/>
  <c r="G10" i="23"/>
  <c r="G49" i="21"/>
  <c r="G43" i="21"/>
  <c r="G35" i="21"/>
  <c r="G27" i="21"/>
  <c r="G24" i="20"/>
  <c r="G20" i="20"/>
  <c r="G8" i="20"/>
  <c r="G12" i="18"/>
  <c r="G8" i="18"/>
  <c r="G22" i="23"/>
  <c r="G63" i="22"/>
  <c r="G56" i="21"/>
  <c r="G54" i="21"/>
  <c r="G28" i="20"/>
  <c r="G21" i="20"/>
  <c r="G43" i="23"/>
  <c r="G27" i="23"/>
  <c r="G41" i="22"/>
  <c r="G51" i="21"/>
  <c r="G22" i="21"/>
  <c r="G33" i="20"/>
  <c r="G62" i="22"/>
  <c r="G31" i="21"/>
  <c r="G47" i="17"/>
  <c r="G31" i="17"/>
  <c r="G21" i="17"/>
  <c r="G52" i="16"/>
  <c r="G48" i="16"/>
  <c r="G44" i="16"/>
  <c r="G40" i="16"/>
  <c r="G36" i="16"/>
  <c r="G32" i="16"/>
  <c r="G28" i="16"/>
  <c r="G21" i="16"/>
  <c r="G63" i="15"/>
  <c r="G59" i="15"/>
  <c r="G55" i="15"/>
  <c r="G42" i="23"/>
  <c r="G20" i="22"/>
  <c r="G9" i="19"/>
  <c r="G9" i="18"/>
  <c r="G54" i="17"/>
  <c r="G52" i="17"/>
  <c r="G45" i="17"/>
  <c r="G38" i="17"/>
  <c r="G36" i="17"/>
  <c r="G29" i="17"/>
  <c r="G57" i="16"/>
  <c r="G68" i="15"/>
  <c r="G11" i="23"/>
  <c r="G36" i="22"/>
  <c r="G36" i="21"/>
  <c r="G23" i="20"/>
  <c r="G14" i="20"/>
  <c r="G10" i="19"/>
  <c r="G13" i="18"/>
  <c r="G43" i="17"/>
  <c r="G27" i="17"/>
  <c r="G53" i="16"/>
  <c r="G49" i="16"/>
  <c r="G45" i="16"/>
  <c r="G41" i="16"/>
  <c r="G37" i="16"/>
  <c r="G33" i="16"/>
  <c r="G29" i="16"/>
  <c r="G25" i="16"/>
  <c r="G64" i="15"/>
  <c r="G23" i="23"/>
  <c r="G57" i="21"/>
  <c r="G45" i="21"/>
  <c r="G39" i="21"/>
  <c r="G11" i="20"/>
  <c r="G8" i="19"/>
  <c r="G15" i="18"/>
  <c r="G57" i="17"/>
  <c r="G55" i="17"/>
  <c r="G39" i="17"/>
  <c r="G26" i="23"/>
  <c r="F23" i="24"/>
  <c r="G48" i="23"/>
  <c r="G10" i="20"/>
  <c r="G16" i="18"/>
  <c r="G44" i="17"/>
  <c r="G37" i="17"/>
  <c r="G30" i="17"/>
  <c r="G22" i="17"/>
  <c r="G50" i="16"/>
  <c r="G31" i="16"/>
  <c r="G20" i="16"/>
  <c r="G57" i="15"/>
  <c r="G44" i="15"/>
  <c r="G41" i="15"/>
  <c r="G38" i="15"/>
  <c r="G35" i="15"/>
  <c r="G28" i="15"/>
  <c r="G21" i="15"/>
  <c r="G62" i="14"/>
  <c r="G29" i="22"/>
  <c r="G28" i="21"/>
  <c r="G19" i="20"/>
  <c r="G51" i="17"/>
  <c r="G54" i="16"/>
  <c r="G35" i="16"/>
  <c r="G17" i="16"/>
  <c r="G47" i="15"/>
  <c r="G19" i="15"/>
  <c r="G64" i="14"/>
  <c r="G28" i="14"/>
  <c r="G52" i="22"/>
  <c r="G9" i="20"/>
  <c r="G40" i="17"/>
  <c r="G33" i="17"/>
  <c r="G26" i="17"/>
  <c r="G39" i="16"/>
  <c r="G26" i="16"/>
  <c r="G62" i="15"/>
  <c r="G60" i="15"/>
  <c r="G53" i="15"/>
  <c r="G36" i="15"/>
  <c r="G29" i="15"/>
  <c r="G22" i="15"/>
  <c r="G63" i="14"/>
  <c r="G59" i="14"/>
  <c r="G55" i="14"/>
  <c r="G51" i="14"/>
  <c r="G47" i="14"/>
  <c r="G43" i="14"/>
  <c r="G39" i="14"/>
  <c r="G35" i="14"/>
  <c r="G31" i="14"/>
  <c r="G24" i="14"/>
  <c r="G18" i="13"/>
  <c r="G14" i="13"/>
  <c r="G10" i="13"/>
  <c r="G17" i="20"/>
  <c r="G50" i="17"/>
  <c r="G32" i="17"/>
  <c r="G25" i="17"/>
  <c r="G20" i="17"/>
  <c r="G43" i="16"/>
  <c r="G30" i="16"/>
  <c r="G23" i="16"/>
  <c r="G19" i="16"/>
  <c r="G67" i="15"/>
  <c r="G66" i="15"/>
  <c r="G48" i="15"/>
  <c r="G45" i="15"/>
  <c r="G42" i="15"/>
  <c r="G39" i="15"/>
  <c r="G24" i="15"/>
  <c r="G44" i="22"/>
  <c r="G11" i="18"/>
  <c r="G21" i="21"/>
  <c r="G35" i="17"/>
  <c r="G51" i="16"/>
  <c r="G38" i="16"/>
  <c r="G22" i="16"/>
  <c r="G40" i="15"/>
  <c r="G37" i="15"/>
  <c r="G34" i="15"/>
  <c r="G32" i="15"/>
  <c r="G65" i="14"/>
  <c r="G34" i="23"/>
  <c r="G40" i="21"/>
  <c r="G32" i="21"/>
  <c r="G20" i="21"/>
  <c r="G13" i="20"/>
  <c r="G48" i="17"/>
  <c r="G28" i="17"/>
  <c r="G52" i="15"/>
  <c r="G46" i="15"/>
  <c r="G58" i="14"/>
  <c r="G56" i="14"/>
  <c r="G49" i="14"/>
  <c r="G42" i="14"/>
  <c r="G40" i="14"/>
  <c r="G33" i="14"/>
  <c r="G22" i="13"/>
  <c r="G21" i="13"/>
  <c r="G19" i="13"/>
  <c r="G12" i="13"/>
  <c r="G46" i="17"/>
  <c r="G19" i="17"/>
  <c r="G46" i="16"/>
  <c r="G34" i="16"/>
  <c r="G61" i="15"/>
  <c r="G56" i="15"/>
  <c r="G23" i="15"/>
  <c r="G49" i="15"/>
  <c r="G31" i="15"/>
  <c r="G61" i="14"/>
  <c r="G54" i="14"/>
  <c r="G52" i="14"/>
  <c r="G45" i="14"/>
  <c r="G38" i="14"/>
  <c r="G36" i="14"/>
  <c r="G25" i="14"/>
  <c r="G17" i="13"/>
  <c r="G15" i="13"/>
  <c r="G8" i="13"/>
  <c r="G53" i="17"/>
  <c r="G65" i="15"/>
  <c r="G34" i="17"/>
  <c r="G17" i="17"/>
  <c r="G55" i="16"/>
  <c r="G27" i="16"/>
  <c r="G30" i="15"/>
  <c r="G57" i="14"/>
  <c r="G50" i="14"/>
  <c r="G48" i="14"/>
  <c r="G41" i="14"/>
  <c r="G34" i="14"/>
  <c r="G32" i="14"/>
  <c r="G20" i="13"/>
  <c r="G13" i="13"/>
  <c r="G11" i="13"/>
  <c r="G14" i="18"/>
  <c r="G42" i="17"/>
  <c r="G23" i="17"/>
  <c r="G54" i="15"/>
  <c r="G50" i="15"/>
  <c r="G10" i="18"/>
  <c r="G41" i="17"/>
  <c r="G42" i="16"/>
  <c r="G58" i="15"/>
  <c r="G43" i="15"/>
  <c r="G60" i="14"/>
  <c r="G53" i="14"/>
  <c r="G46" i="14"/>
  <c r="G44" i="14"/>
  <c r="G37" i="14"/>
  <c r="G30" i="14"/>
  <c r="G27" i="14"/>
  <c r="G26" i="14"/>
  <c r="G16" i="13"/>
  <c r="G9" i="13"/>
  <c r="G49" i="17"/>
  <c r="G56" i="16"/>
  <c r="G47" i="16"/>
  <c r="G25" i="15"/>
  <c r="G22" i="14"/>
  <c r="G47" i="4"/>
  <c r="G27" i="15"/>
  <c r="G49" i="4"/>
  <c r="G48" i="4"/>
  <c r="G42" i="4"/>
  <c r="G40" i="4"/>
  <c r="G38" i="4"/>
  <c r="G19" i="4"/>
  <c r="G43" i="3"/>
  <c r="G33" i="3"/>
  <c r="G25" i="3"/>
  <c r="G34" i="4"/>
  <c r="G26" i="4"/>
  <c r="G16" i="4"/>
  <c r="G18" i="3"/>
  <c r="G35" i="3"/>
  <c r="G30" i="3"/>
  <c r="G28" i="3"/>
  <c r="G20" i="3"/>
  <c r="G35" i="4"/>
  <c r="G31" i="4"/>
  <c r="G20" i="4"/>
  <c r="G17" i="4"/>
  <c r="G44" i="3"/>
  <c r="G32" i="3"/>
  <c r="G43" i="4"/>
  <c r="G51" i="4"/>
  <c r="G46" i="4"/>
  <c r="G38" i="3"/>
  <c r="G33" i="4"/>
  <c r="G30" i="4"/>
  <c r="G41" i="3"/>
  <c r="G34" i="3"/>
  <c r="G25" i="4"/>
  <c r="G45" i="3"/>
  <c r="G50" i="4"/>
  <c r="G52" i="4"/>
  <c r="G29" i="4"/>
  <c r="G28" i="4"/>
  <c r="G40" i="3"/>
  <c r="G29" i="3"/>
  <c r="G26" i="3"/>
  <c r="F26" i="3"/>
  <c r="F34" i="3" s="1"/>
  <c r="G18" i="4"/>
  <c r="G46" i="3"/>
  <c r="G17" i="3"/>
  <c r="G16" i="3"/>
  <c r="G44" i="4"/>
  <c r="G39" i="4"/>
  <c r="G36" i="4"/>
  <c r="G32" i="4"/>
  <c r="G42" i="3"/>
  <c r="G39" i="3"/>
  <c r="G19" i="3"/>
  <c r="G36" i="3"/>
  <c r="G31" i="3"/>
  <c r="G41" i="4"/>
  <c r="L25" i="24"/>
  <c r="L21" i="24"/>
  <c r="L22" i="24"/>
  <c r="L23" i="24"/>
  <c r="M43" i="23"/>
  <c r="M39" i="23"/>
  <c r="M35" i="23"/>
  <c r="M31" i="23"/>
  <c r="M27" i="23"/>
  <c r="M23" i="23"/>
  <c r="M19" i="23"/>
  <c r="M15" i="23"/>
  <c r="M11" i="23"/>
  <c r="M63" i="22"/>
  <c r="M58" i="22"/>
  <c r="M53" i="22"/>
  <c r="M49" i="22"/>
  <c r="M45" i="22"/>
  <c r="M41" i="22"/>
  <c r="M37" i="22"/>
  <c r="M33" i="22"/>
  <c r="M29" i="22"/>
  <c r="M25" i="22"/>
  <c r="M22" i="22"/>
  <c r="M8" i="22"/>
  <c r="M57" i="21"/>
  <c r="M55" i="21"/>
  <c r="L28" i="24"/>
  <c r="M47" i="23"/>
  <c r="M44" i="23"/>
  <c r="M40" i="23"/>
  <c r="M36" i="23"/>
  <c r="M32" i="23"/>
  <c r="M28" i="23"/>
  <c r="M20" i="23"/>
  <c r="M12" i="23"/>
  <c r="M8" i="23"/>
  <c r="M66" i="22"/>
  <c r="M64" i="22"/>
  <c r="M60" i="22"/>
  <c r="M56" i="22"/>
  <c r="M54" i="22"/>
  <c r="M50" i="22"/>
  <c r="M46" i="22"/>
  <c r="M42" i="22"/>
  <c r="M38" i="22"/>
  <c r="M34" i="22"/>
  <c r="M30" i="22"/>
  <c r="M23" i="22"/>
  <c r="M51" i="22"/>
  <c r="M43" i="22"/>
  <c r="M35" i="22"/>
  <c r="M41" i="23"/>
  <c r="M33" i="23"/>
  <c r="M24" i="23"/>
  <c r="M21" i="23"/>
  <c r="M9" i="23"/>
  <c r="M61" i="22"/>
  <c r="M48" i="22"/>
  <c r="M40" i="22"/>
  <c r="M32" i="22"/>
  <c r="M56" i="21"/>
  <c r="M54" i="21"/>
  <c r="M49" i="21"/>
  <c r="M45" i="21"/>
  <c r="M43" i="21"/>
  <c r="M39" i="21"/>
  <c r="M35" i="21"/>
  <c r="M31" i="21"/>
  <c r="M27" i="21"/>
  <c r="M20" i="21"/>
  <c r="M33" i="20"/>
  <c r="M31" i="20"/>
  <c r="M26" i="20"/>
  <c r="M23" i="20"/>
  <c r="M19" i="20"/>
  <c r="M46" i="23"/>
  <c r="M38" i="23"/>
  <c r="M30" i="23"/>
  <c r="M18" i="23"/>
  <c r="M14" i="23"/>
  <c r="M48" i="23"/>
  <c r="M26" i="22"/>
  <c r="M20" i="22"/>
  <c r="M51" i="21"/>
  <c r="M47" i="21"/>
  <c r="M40" i="21"/>
  <c r="M36" i="21"/>
  <c r="M32" i="21"/>
  <c r="M28" i="21"/>
  <c r="M23" i="21"/>
  <c r="M21" i="21"/>
  <c r="M28" i="20"/>
  <c r="M24" i="20"/>
  <c r="M20" i="20"/>
  <c r="M16" i="23"/>
  <c r="M10" i="23"/>
  <c r="M55" i="22"/>
  <c r="M28" i="22"/>
  <c r="M38" i="21"/>
  <c r="M30" i="21"/>
  <c r="M22" i="21"/>
  <c r="M19" i="21"/>
  <c r="M13" i="20"/>
  <c r="M9" i="20"/>
  <c r="M8" i="19"/>
  <c r="M16" i="18"/>
  <c r="M13" i="18"/>
  <c r="M9" i="18"/>
  <c r="M52" i="17"/>
  <c r="M48" i="17"/>
  <c r="M44" i="17"/>
  <c r="M40" i="17"/>
  <c r="M36" i="17"/>
  <c r="M32" i="17"/>
  <c r="M28" i="17"/>
  <c r="M45" i="23"/>
  <c r="M29" i="23"/>
  <c r="M22" i="23"/>
  <c r="M47" i="22"/>
  <c r="M31" i="22"/>
  <c r="M34" i="23"/>
  <c r="M65" i="22"/>
  <c r="M52" i="22"/>
  <c r="M36" i="22"/>
  <c r="M37" i="21"/>
  <c r="M29" i="21"/>
  <c r="M17" i="21"/>
  <c r="M17" i="20"/>
  <c r="M14" i="20"/>
  <c r="M10" i="20"/>
  <c r="M9" i="19"/>
  <c r="M14" i="18"/>
  <c r="M10" i="18"/>
  <c r="M56" i="17"/>
  <c r="M53" i="17"/>
  <c r="M49" i="17"/>
  <c r="M45" i="17"/>
  <c r="M41" i="17"/>
  <c r="M37" i="17"/>
  <c r="M33" i="17"/>
  <c r="M29" i="17"/>
  <c r="M25" i="17"/>
  <c r="M62" i="22"/>
  <c r="M42" i="21"/>
  <c r="M34" i="21"/>
  <c r="M26" i="21"/>
  <c r="M42" i="23"/>
  <c r="M13" i="23"/>
  <c r="M53" i="21"/>
  <c r="M32" i="20"/>
  <c r="M11" i="20"/>
  <c r="M11" i="18"/>
  <c r="M50" i="17"/>
  <c r="M43" i="17"/>
  <c r="M34" i="17"/>
  <c r="M27" i="17"/>
  <c r="M41" i="21"/>
  <c r="M25" i="21"/>
  <c r="M30" i="20"/>
  <c r="M8" i="20"/>
  <c r="M15" i="18"/>
  <c r="M57" i="17"/>
  <c r="M22" i="17"/>
  <c r="M19" i="17"/>
  <c r="M54" i="16"/>
  <c r="M50" i="16"/>
  <c r="M46" i="16"/>
  <c r="M42" i="16"/>
  <c r="M38" i="16"/>
  <c r="M34" i="16"/>
  <c r="M30" i="16"/>
  <c r="M26" i="16"/>
  <c r="M22" i="16"/>
  <c r="M19" i="16"/>
  <c r="M65" i="15"/>
  <c r="M61" i="15"/>
  <c r="M57" i="15"/>
  <c r="M53" i="15"/>
  <c r="M49" i="15"/>
  <c r="M45" i="15"/>
  <c r="M41" i="15"/>
  <c r="M37" i="15"/>
  <c r="M32" i="15"/>
  <c r="M24" i="22"/>
  <c r="M52" i="21"/>
  <c r="M18" i="20"/>
  <c r="M55" i="17"/>
  <c r="M46" i="17"/>
  <c r="M39" i="17"/>
  <c r="M30" i="17"/>
  <c r="M37" i="23"/>
  <c r="M57" i="22"/>
  <c r="M26" i="23"/>
  <c r="M44" i="22"/>
  <c r="M8" i="18"/>
  <c r="M51" i="17"/>
  <c r="M42" i="17"/>
  <c r="M35" i="17"/>
  <c r="M26" i="17"/>
  <c r="M21" i="20"/>
  <c r="M20" i="17"/>
  <c r="M57" i="16"/>
  <c r="M43" i="16"/>
  <c r="M37" i="16"/>
  <c r="M23" i="16"/>
  <c r="M66" i="15"/>
  <c r="M42" i="15"/>
  <c r="M39" i="15"/>
  <c r="M36" i="15"/>
  <c r="M12" i="18"/>
  <c r="M54" i="17"/>
  <c r="M47" i="17"/>
  <c r="M17" i="17"/>
  <c r="M56" i="16"/>
  <c r="M47" i="16"/>
  <c r="M41" i="16"/>
  <c r="M28" i="16"/>
  <c r="M64" i="15"/>
  <c r="M60" i="15"/>
  <c r="M58" i="15"/>
  <c r="M50" i="15"/>
  <c r="M48" i="15"/>
  <c r="M30" i="15"/>
  <c r="M25" i="15"/>
  <c r="M23" i="15"/>
  <c r="M60" i="14"/>
  <c r="M56" i="14"/>
  <c r="M52" i="14"/>
  <c r="M48" i="14"/>
  <c r="M44" i="14"/>
  <c r="M40" i="14"/>
  <c r="M36" i="14"/>
  <c r="M32" i="14"/>
  <c r="M25" i="14"/>
  <c r="M22" i="13"/>
  <c r="M19" i="13"/>
  <c r="M15" i="13"/>
  <c r="M11" i="13"/>
  <c r="M48" i="21"/>
  <c r="M51" i="16"/>
  <c r="M45" i="16"/>
  <c r="M32" i="16"/>
  <c r="M21" i="16"/>
  <c r="M34" i="15"/>
  <c r="M55" i="16"/>
  <c r="M49" i="16"/>
  <c r="M36" i="16"/>
  <c r="M56" i="15"/>
  <c r="M54" i="15"/>
  <c r="M46" i="15"/>
  <c r="M43" i="15"/>
  <c r="M40" i="15"/>
  <c r="M31" i="15"/>
  <c r="M27" i="15"/>
  <c r="M19" i="15"/>
  <c r="M33" i="21"/>
  <c r="M29" i="20"/>
  <c r="M44" i="21"/>
  <c r="M25" i="20"/>
  <c r="M15" i="20"/>
  <c r="M38" i="17"/>
  <c r="M31" i="17"/>
  <c r="M23" i="17"/>
  <c r="M21" i="17"/>
  <c r="M44" i="16"/>
  <c r="M31" i="16"/>
  <c r="M25" i="16"/>
  <c r="M20" i="16"/>
  <c r="M68" i="15"/>
  <c r="M59" i="15"/>
  <c r="M52" i="15"/>
  <c r="M38" i="15"/>
  <c r="M35" i="15"/>
  <c r="M28" i="15"/>
  <c r="M24" i="15"/>
  <c r="M21" i="15"/>
  <c r="M62" i="14"/>
  <c r="M39" i="22"/>
  <c r="M52" i="16"/>
  <c r="M40" i="16"/>
  <c r="M29" i="16"/>
  <c r="M64" i="14"/>
  <c r="M59" i="14"/>
  <c r="M57" i="14"/>
  <c r="M50" i="14"/>
  <c r="M43" i="14"/>
  <c r="M41" i="14"/>
  <c r="M34" i="14"/>
  <c r="M27" i="14"/>
  <c r="M22" i="14"/>
  <c r="M20" i="13"/>
  <c r="M13" i="13"/>
  <c r="M10" i="19"/>
  <c r="M39" i="16"/>
  <c r="M27" i="16"/>
  <c r="M63" i="14"/>
  <c r="M33" i="16"/>
  <c r="M67" i="15"/>
  <c r="M55" i="15"/>
  <c r="M44" i="15"/>
  <c r="M48" i="16"/>
  <c r="M17" i="16"/>
  <c r="M63" i="15"/>
  <c r="M47" i="15"/>
  <c r="M53" i="16"/>
  <c r="M29" i="15"/>
  <c r="M35" i="16"/>
  <c r="M62" i="15"/>
  <c r="M54" i="14"/>
  <c r="M49" i="14"/>
  <c r="M35" i="14"/>
  <c r="M30" i="14"/>
  <c r="M65" i="14"/>
  <c r="M58" i="14"/>
  <c r="M53" i="14"/>
  <c r="M39" i="14"/>
  <c r="M24" i="14"/>
  <c r="M22" i="15"/>
  <c r="M28" i="14"/>
  <c r="M10" i="13"/>
  <c r="M38" i="14"/>
  <c r="M33" i="14"/>
  <c r="M14" i="13"/>
  <c r="M9" i="13"/>
  <c r="M61" i="14"/>
  <c r="M51" i="14"/>
  <c r="M46" i="14"/>
  <c r="M26" i="14"/>
  <c r="M8" i="13"/>
  <c r="M45" i="14"/>
  <c r="M31" i="14"/>
  <c r="M21" i="13"/>
  <c r="M16" i="13"/>
  <c r="M55" i="14"/>
  <c r="M17" i="13"/>
  <c r="M12" i="13"/>
  <c r="M47" i="14"/>
  <c r="M42" i="14"/>
  <c r="M37" i="14"/>
  <c r="M18" i="13"/>
  <c r="M50" i="4"/>
  <c r="M46" i="4"/>
  <c r="M43" i="4"/>
  <c r="M35" i="4"/>
  <c r="M28" i="4"/>
  <c r="M20" i="4"/>
  <c r="M46" i="3"/>
  <c r="M44" i="3"/>
  <c r="M34" i="3"/>
  <c r="M29" i="3"/>
  <c r="M26" i="3"/>
  <c r="M16" i="3"/>
  <c r="M52" i="4"/>
  <c r="M32" i="4"/>
  <c r="M30" i="4"/>
  <c r="M17" i="4"/>
  <c r="M41" i="3"/>
  <c r="M39" i="3"/>
  <c r="M36" i="3"/>
  <c r="M31" i="3"/>
  <c r="L26" i="3"/>
  <c r="L34" i="3" s="1"/>
  <c r="M51" i="4"/>
  <c r="M49" i="4"/>
  <c r="M42" i="4"/>
  <c r="M40" i="4"/>
  <c r="M38" i="4"/>
  <c r="M19" i="4"/>
  <c r="M43" i="3"/>
  <c r="M25" i="3"/>
  <c r="M28" i="3"/>
  <c r="M45" i="3"/>
  <c r="M41" i="4"/>
  <c r="M26" i="4"/>
  <c r="M25" i="4"/>
  <c r="M39" i="4"/>
  <c r="M33" i="4"/>
  <c r="M35" i="3"/>
  <c r="M48" i="4"/>
  <c r="M16" i="4"/>
  <c r="M42" i="3"/>
  <c r="M20" i="3"/>
  <c r="M19" i="3"/>
  <c r="M44" i="4"/>
  <c r="M47" i="4"/>
  <c r="M34" i="4"/>
  <c r="M31" i="4"/>
  <c r="M18" i="4"/>
  <c r="M38" i="3"/>
  <c r="M33" i="3"/>
  <c r="M18" i="3"/>
  <c r="M17" i="3"/>
  <c r="M29" i="4"/>
  <c r="M40" i="3"/>
  <c r="M30" i="3"/>
  <c r="M32" i="3"/>
  <c r="M36" i="4"/>
  <c r="H28" i="24"/>
  <c r="H25" i="24"/>
  <c r="H21" i="24"/>
  <c r="H22" i="24"/>
  <c r="I46" i="23"/>
  <c r="I42" i="23"/>
  <c r="I38" i="23"/>
  <c r="I34" i="23"/>
  <c r="I30" i="23"/>
  <c r="I26" i="23"/>
  <c r="I24" i="23"/>
  <c r="I22" i="23"/>
  <c r="I18" i="23"/>
  <c r="I16" i="23"/>
  <c r="I14" i="23"/>
  <c r="I10" i="23"/>
  <c r="I62" i="22"/>
  <c r="I52" i="22"/>
  <c r="I48" i="22"/>
  <c r="I44" i="22"/>
  <c r="I40" i="22"/>
  <c r="I36" i="22"/>
  <c r="I32" i="22"/>
  <c r="I28" i="22"/>
  <c r="I26" i="22"/>
  <c r="I56" i="21"/>
  <c r="H23" i="24"/>
  <c r="I48" i="23"/>
  <c r="I43" i="23"/>
  <c r="I39" i="23"/>
  <c r="I35" i="23"/>
  <c r="I31" i="23"/>
  <c r="I27" i="23"/>
  <c r="I23" i="23"/>
  <c r="I19" i="23"/>
  <c r="I15" i="23"/>
  <c r="I11" i="23"/>
  <c r="I65" i="22"/>
  <c r="I63" i="22"/>
  <c r="I55" i="22"/>
  <c r="I53" i="22"/>
  <c r="I49" i="22"/>
  <c r="I45" i="22"/>
  <c r="I41" i="22"/>
  <c r="I37" i="22"/>
  <c r="I33" i="22"/>
  <c r="I29" i="22"/>
  <c r="I22" i="22"/>
  <c r="I20" i="22"/>
  <c r="I8" i="22"/>
  <c r="I54" i="22"/>
  <c r="I46" i="22"/>
  <c r="I38" i="22"/>
  <c r="I30" i="22"/>
  <c r="I44" i="23"/>
  <c r="I36" i="23"/>
  <c r="I28" i="23"/>
  <c r="I12" i="23"/>
  <c r="I64" i="22"/>
  <c r="I58" i="22"/>
  <c r="I51" i="22"/>
  <c r="I43" i="22"/>
  <c r="I35" i="22"/>
  <c r="I53" i="21"/>
  <c r="I44" i="21"/>
  <c r="I42" i="21"/>
  <c r="I38" i="21"/>
  <c r="I34" i="21"/>
  <c r="I30" i="21"/>
  <c r="I26" i="21"/>
  <c r="I19" i="21"/>
  <c r="I17" i="21"/>
  <c r="I32" i="20"/>
  <c r="I30" i="20"/>
  <c r="I18" i="20"/>
  <c r="I41" i="23"/>
  <c r="I33" i="23"/>
  <c r="I21" i="23"/>
  <c r="I9" i="23"/>
  <c r="I61" i="22"/>
  <c r="I56" i="22"/>
  <c r="I57" i="21"/>
  <c r="I66" i="22"/>
  <c r="I23" i="22"/>
  <c r="I54" i="21"/>
  <c r="I43" i="21"/>
  <c r="I39" i="21"/>
  <c r="I35" i="21"/>
  <c r="I31" i="21"/>
  <c r="I27" i="21"/>
  <c r="I22" i="21"/>
  <c r="I20" i="21"/>
  <c r="I31" i="20"/>
  <c r="I23" i="20"/>
  <c r="I21" i="20"/>
  <c r="I19" i="20"/>
  <c r="I25" i="22"/>
  <c r="I41" i="21"/>
  <c r="I33" i="21"/>
  <c r="I25" i="21"/>
  <c r="I24" i="20"/>
  <c r="I20" i="20"/>
  <c r="I8" i="20"/>
  <c r="I12" i="18"/>
  <c r="I8" i="18"/>
  <c r="I55" i="17"/>
  <c r="I51" i="17"/>
  <c r="I47" i="17"/>
  <c r="I43" i="17"/>
  <c r="I39" i="17"/>
  <c r="I35" i="17"/>
  <c r="I31" i="17"/>
  <c r="I27" i="17"/>
  <c r="I40" i="23"/>
  <c r="I42" i="22"/>
  <c r="I52" i="21"/>
  <c r="I28" i="20"/>
  <c r="I45" i="23"/>
  <c r="I29" i="23"/>
  <c r="I47" i="22"/>
  <c r="I31" i="22"/>
  <c r="I40" i="21"/>
  <c r="I32" i="21"/>
  <c r="I21" i="21"/>
  <c r="I33" i="20"/>
  <c r="I13" i="20"/>
  <c r="I11" i="20"/>
  <c r="I9" i="20"/>
  <c r="I10" i="19"/>
  <c r="I8" i="19"/>
  <c r="I13" i="18"/>
  <c r="I9" i="18"/>
  <c r="I57" i="17"/>
  <c r="I52" i="17"/>
  <c r="I48" i="17"/>
  <c r="I44" i="17"/>
  <c r="I40" i="17"/>
  <c r="I36" i="17"/>
  <c r="I32" i="17"/>
  <c r="I28" i="17"/>
  <c r="I47" i="23"/>
  <c r="I20" i="23"/>
  <c r="I13" i="23"/>
  <c r="I57" i="22"/>
  <c r="I37" i="21"/>
  <c r="I29" i="21"/>
  <c r="I23" i="21"/>
  <c r="I39" i="22"/>
  <c r="I48" i="21"/>
  <c r="I25" i="20"/>
  <c r="I9" i="19"/>
  <c r="I54" i="17"/>
  <c r="I45" i="17"/>
  <c r="I38" i="17"/>
  <c r="I29" i="17"/>
  <c r="I36" i="21"/>
  <c r="I26" i="20"/>
  <c r="I14" i="20"/>
  <c r="I23" i="17"/>
  <c r="I53" i="16"/>
  <c r="I49" i="16"/>
  <c r="I45" i="16"/>
  <c r="I41" i="16"/>
  <c r="I37" i="16"/>
  <c r="I33" i="16"/>
  <c r="I29" i="16"/>
  <c r="I25" i="16"/>
  <c r="I23" i="16"/>
  <c r="I64" i="15"/>
  <c r="I60" i="15"/>
  <c r="I56" i="15"/>
  <c r="I52" i="15"/>
  <c r="I50" i="15"/>
  <c r="I48" i="15"/>
  <c r="I44" i="15"/>
  <c r="I40" i="15"/>
  <c r="I36" i="15"/>
  <c r="I60" i="22"/>
  <c r="I47" i="21"/>
  <c r="I15" i="20"/>
  <c r="I10" i="20"/>
  <c r="I11" i="18"/>
  <c r="I50" i="17"/>
  <c r="I41" i="17"/>
  <c r="I34" i="17"/>
  <c r="I25" i="17"/>
  <c r="I34" i="22"/>
  <c r="I51" i="21"/>
  <c r="I37" i="23"/>
  <c r="I8" i="23"/>
  <c r="I24" i="22"/>
  <c r="I17" i="20"/>
  <c r="I56" i="17"/>
  <c r="I53" i="17"/>
  <c r="I46" i="17"/>
  <c r="I37" i="17"/>
  <c r="I30" i="17"/>
  <c r="I28" i="21"/>
  <c r="I54" i="16"/>
  <c r="I48" i="16"/>
  <c r="I35" i="16"/>
  <c r="I47" i="15"/>
  <c r="I49" i="21"/>
  <c r="I33" i="17"/>
  <c r="I26" i="17"/>
  <c r="I52" i="16"/>
  <c r="I39" i="16"/>
  <c r="I26" i="16"/>
  <c r="I68" i="15"/>
  <c r="I67" i="15"/>
  <c r="I62" i="15"/>
  <c r="I55" i="15"/>
  <c r="I53" i="15"/>
  <c r="I29" i="15"/>
  <c r="I24" i="15"/>
  <c r="I22" i="15"/>
  <c r="I63" i="14"/>
  <c r="I59" i="14"/>
  <c r="I55" i="14"/>
  <c r="I51" i="14"/>
  <c r="I47" i="14"/>
  <c r="I43" i="14"/>
  <c r="I39" i="14"/>
  <c r="I35" i="14"/>
  <c r="I31" i="14"/>
  <c r="I24" i="14"/>
  <c r="I22" i="14"/>
  <c r="I18" i="13"/>
  <c r="I14" i="13"/>
  <c r="I10" i="13"/>
  <c r="I20" i="17"/>
  <c r="I17" i="17"/>
  <c r="I43" i="16"/>
  <c r="I30" i="16"/>
  <c r="I19" i="16"/>
  <c r="I66" i="15"/>
  <c r="I45" i="15"/>
  <c r="I42" i="15"/>
  <c r="I39" i="15"/>
  <c r="I50" i="22"/>
  <c r="I45" i="21"/>
  <c r="I47" i="16"/>
  <c r="I34" i="16"/>
  <c r="I28" i="16"/>
  <c r="I22" i="16"/>
  <c r="I58" i="15"/>
  <c r="I32" i="15"/>
  <c r="I30" i="15"/>
  <c r="I23" i="15"/>
  <c r="I65" i="14"/>
  <c r="I15" i="18"/>
  <c r="I29" i="20"/>
  <c r="I10" i="18"/>
  <c r="I49" i="17"/>
  <c r="I42" i="17"/>
  <c r="I19" i="17"/>
  <c r="I55" i="16"/>
  <c r="I42" i="16"/>
  <c r="I36" i="16"/>
  <c r="I65" i="15"/>
  <c r="I61" i="15"/>
  <c r="I54" i="15"/>
  <c r="I49" i="15"/>
  <c r="I46" i="15"/>
  <c r="I43" i="15"/>
  <c r="I31" i="15"/>
  <c r="I27" i="15"/>
  <c r="I25" i="15"/>
  <c r="I32" i="23"/>
  <c r="I55" i="21"/>
  <c r="I57" i="16"/>
  <c r="I46" i="16"/>
  <c r="I57" i="15"/>
  <c r="I38" i="15"/>
  <c r="I22" i="17"/>
  <c r="I51" i="16"/>
  <c r="I40" i="16"/>
  <c r="I21" i="16"/>
  <c r="I37" i="15"/>
  <c r="I28" i="15"/>
  <c r="I19" i="15"/>
  <c r="I61" i="14"/>
  <c r="I54" i="14"/>
  <c r="I52" i="14"/>
  <c r="I45" i="14"/>
  <c r="I38" i="14"/>
  <c r="I36" i="14"/>
  <c r="I25" i="14"/>
  <c r="I17" i="13"/>
  <c r="I15" i="13"/>
  <c r="I8" i="13"/>
  <c r="I41" i="15"/>
  <c r="I50" i="16"/>
  <c r="I38" i="16"/>
  <c r="I27" i="16"/>
  <c r="I20" i="16"/>
  <c r="I14" i="18"/>
  <c r="I44" i="16"/>
  <c r="I32" i="16"/>
  <c r="I64" i="14"/>
  <c r="I27" i="14"/>
  <c r="I56" i="16"/>
  <c r="I59" i="15"/>
  <c r="I31" i="16"/>
  <c r="I17" i="16"/>
  <c r="I63" i="15"/>
  <c r="I35" i="15"/>
  <c r="I21" i="15"/>
  <c r="I62" i="14"/>
  <c r="I22" i="13"/>
  <c r="I16" i="18"/>
  <c r="I21" i="17"/>
  <c r="I40" i="14"/>
  <c r="I21" i="13"/>
  <c r="I16" i="13"/>
  <c r="I11" i="13"/>
  <c r="I49" i="14"/>
  <c r="I44" i="14"/>
  <c r="I30" i="14"/>
  <c r="I20" i="13"/>
  <c r="I58" i="14"/>
  <c r="I53" i="14"/>
  <c r="I48" i="14"/>
  <c r="I34" i="14"/>
  <c r="I57" i="14"/>
  <c r="I19" i="13"/>
  <c r="I34" i="15"/>
  <c r="I56" i="14"/>
  <c r="I42" i="14"/>
  <c r="I37" i="14"/>
  <c r="I32" i="14"/>
  <c r="I13" i="13"/>
  <c r="I50" i="14"/>
  <c r="I12" i="13"/>
  <c r="I33" i="14"/>
  <c r="I9" i="13"/>
  <c r="I46" i="14"/>
  <c r="I28" i="14"/>
  <c r="I26" i="14"/>
  <c r="I60" i="14"/>
  <c r="I41" i="14"/>
  <c r="I35" i="3"/>
  <c r="I30" i="3"/>
  <c r="I28" i="3"/>
  <c r="I20" i="3"/>
  <c r="I44" i="4"/>
  <c r="I36" i="4"/>
  <c r="I31" i="4"/>
  <c r="I29" i="4"/>
  <c r="I25" i="4"/>
  <c r="I18" i="4"/>
  <c r="I42" i="3"/>
  <c r="I40" i="3"/>
  <c r="I38" i="3"/>
  <c r="I32" i="3"/>
  <c r="I17" i="3"/>
  <c r="I46" i="4"/>
  <c r="I41" i="4"/>
  <c r="I39" i="4"/>
  <c r="I33" i="4"/>
  <c r="I51" i="4"/>
  <c r="I30" i="4"/>
  <c r="I41" i="3"/>
  <c r="I34" i="3"/>
  <c r="I18" i="3"/>
  <c r="I36" i="3"/>
  <c r="I31" i="3"/>
  <c r="I43" i="4"/>
  <c r="I16" i="4"/>
  <c r="I46" i="3"/>
  <c r="I17" i="4"/>
  <c r="I44" i="3"/>
  <c r="I52" i="4"/>
  <c r="I28" i="4"/>
  <c r="I45" i="3"/>
  <c r="I29" i="3"/>
  <c r="I26" i="3"/>
  <c r="I25" i="3"/>
  <c r="I48" i="4"/>
  <c r="I42" i="4"/>
  <c r="I50" i="4"/>
  <c r="I49" i="4"/>
  <c r="I16" i="3"/>
  <c r="I39" i="3"/>
  <c r="I19" i="3"/>
  <c r="I47" i="4"/>
  <c r="I20" i="4"/>
  <c r="I38" i="4"/>
  <c r="I34" i="4"/>
  <c r="I33" i="3"/>
  <c r="H26" i="3"/>
  <c r="H34" i="3" s="1"/>
  <c r="I40" i="4"/>
  <c r="I32" i="4"/>
  <c r="I26" i="4"/>
  <c r="I35" i="4"/>
  <c r="I19" i="4"/>
  <c r="I43" i="3"/>
  <c r="D20" i="3"/>
  <c r="B26" i="4"/>
  <c r="B34" i="4" s="1"/>
  <c r="B36" i="4" s="1"/>
  <c r="B44" i="4" s="1"/>
  <c r="B50" i="4" s="1"/>
  <c r="B52" i="4" s="1"/>
  <c r="B23" i="24"/>
  <c r="C43" i="23"/>
  <c r="C39" i="23"/>
  <c r="C35" i="23"/>
  <c r="C31" i="23"/>
  <c r="C27" i="23"/>
  <c r="C23" i="23"/>
  <c r="C19" i="23"/>
  <c r="C15" i="23"/>
  <c r="C11" i="23"/>
  <c r="C63" i="22"/>
  <c r="C53" i="22"/>
  <c r="C49" i="22"/>
  <c r="C45" i="22"/>
  <c r="C41" i="22"/>
  <c r="C37" i="22"/>
  <c r="C33" i="22"/>
  <c r="B28" i="24"/>
  <c r="C44" i="23"/>
  <c r="C40" i="23"/>
  <c r="C36" i="23"/>
  <c r="C32" i="23"/>
  <c r="C28" i="23"/>
  <c r="C20" i="23"/>
  <c r="C12" i="23"/>
  <c r="C8" i="23"/>
  <c r="C64" i="22"/>
  <c r="C60" i="22"/>
  <c r="C54" i="22"/>
  <c r="C50" i="22"/>
  <c r="C46" i="22"/>
  <c r="C42" i="22"/>
  <c r="C38" i="22"/>
  <c r="C34" i="22"/>
  <c r="C48" i="23"/>
  <c r="C65" i="22"/>
  <c r="C55" i="22"/>
  <c r="C20" i="22"/>
  <c r="B25" i="24"/>
  <c r="B21" i="24"/>
  <c r="C58" i="22"/>
  <c r="C25" i="22"/>
  <c r="B22" i="24"/>
  <c r="C47" i="23"/>
  <c r="C42" i="23"/>
  <c r="C34" i="23"/>
  <c r="C26" i="23"/>
  <c r="C22" i="23"/>
  <c r="C10" i="23"/>
  <c r="C62" i="22"/>
  <c r="C55" i="21"/>
  <c r="C51" i="21"/>
  <c r="C47" i="21"/>
  <c r="C40" i="21"/>
  <c r="C36" i="21"/>
  <c r="C32" i="21"/>
  <c r="C28" i="21"/>
  <c r="C21" i="21"/>
  <c r="C28" i="20"/>
  <c r="C24" i="20"/>
  <c r="C20" i="20"/>
  <c r="C24" i="23"/>
  <c r="C24" i="22"/>
  <c r="C22" i="21"/>
  <c r="C21" i="20"/>
  <c r="C51" i="22"/>
  <c r="C43" i="22"/>
  <c r="C35" i="22"/>
  <c r="C30" i="22"/>
  <c r="C28" i="22"/>
  <c r="C22" i="22"/>
  <c r="C56" i="21"/>
  <c r="C52" i="21"/>
  <c r="C48" i="21"/>
  <c r="C41" i="21"/>
  <c r="C37" i="21"/>
  <c r="C33" i="21"/>
  <c r="C29" i="21"/>
  <c r="C25" i="21"/>
  <c r="C29" i="20"/>
  <c r="C25" i="20"/>
  <c r="C41" i="23"/>
  <c r="C33" i="23"/>
  <c r="C21" i="23"/>
  <c r="C9" i="23"/>
  <c r="C61" i="22"/>
  <c r="C48" i="22"/>
  <c r="C40" i="22"/>
  <c r="C32" i="22"/>
  <c r="C26" i="22"/>
  <c r="C49" i="21"/>
  <c r="C45" i="21"/>
  <c r="C33" i="20"/>
  <c r="C26" i="20"/>
  <c r="C46" i="23"/>
  <c r="C30" i="23"/>
  <c r="C44" i="22"/>
  <c r="C8" i="22"/>
  <c r="C17" i="21"/>
  <c r="C15" i="20"/>
  <c r="C11" i="20"/>
  <c r="C10" i="19"/>
  <c r="C57" i="17"/>
  <c r="C66" i="22"/>
  <c r="C38" i="21"/>
  <c r="C30" i="21"/>
  <c r="C19" i="21"/>
  <c r="C18" i="20"/>
  <c r="C15" i="18"/>
  <c r="C11" i="18"/>
  <c r="C14" i="23"/>
  <c r="C23" i="22"/>
  <c r="C31" i="20"/>
  <c r="C16" i="18"/>
  <c r="C45" i="23"/>
  <c r="C38" i="23"/>
  <c r="C52" i="22"/>
  <c r="C36" i="22"/>
  <c r="C54" i="21"/>
  <c r="C18" i="23"/>
  <c r="C42" i="21"/>
  <c r="C26" i="21"/>
  <c r="C9" i="20"/>
  <c r="C10" i="18"/>
  <c r="C56" i="17"/>
  <c r="C42" i="17"/>
  <c r="C26" i="17"/>
  <c r="C20" i="17"/>
  <c r="C55" i="16"/>
  <c r="C51" i="16"/>
  <c r="C47" i="16"/>
  <c r="C43" i="16"/>
  <c r="C39" i="16"/>
  <c r="C35" i="16"/>
  <c r="C31" i="16"/>
  <c r="C27" i="16"/>
  <c r="C20" i="16"/>
  <c r="C66" i="15"/>
  <c r="C62" i="15"/>
  <c r="C58" i="15"/>
  <c r="C54" i="15"/>
  <c r="C13" i="23"/>
  <c r="C39" i="22"/>
  <c r="C29" i="22"/>
  <c r="C53" i="21"/>
  <c r="C20" i="21"/>
  <c r="C19" i="20"/>
  <c r="C14" i="18"/>
  <c r="C49" i="17"/>
  <c r="C47" i="17"/>
  <c r="C40" i="17"/>
  <c r="C33" i="17"/>
  <c r="C31" i="17"/>
  <c r="C17" i="17"/>
  <c r="C56" i="16"/>
  <c r="C17" i="16"/>
  <c r="C67" i="15"/>
  <c r="C29" i="23"/>
  <c r="C47" i="22"/>
  <c r="C31" i="21"/>
  <c r="C30" i="20"/>
  <c r="C54" i="17"/>
  <c r="C38" i="17"/>
  <c r="C21" i="17"/>
  <c r="C52" i="16"/>
  <c r="C48" i="16"/>
  <c r="C44" i="16"/>
  <c r="C40" i="16"/>
  <c r="C36" i="16"/>
  <c r="C32" i="16"/>
  <c r="C28" i="16"/>
  <c r="C21" i="16"/>
  <c r="C63" i="15"/>
  <c r="C57" i="22"/>
  <c r="C34" i="21"/>
  <c r="C23" i="20"/>
  <c r="C14" i="20"/>
  <c r="C13" i="18"/>
  <c r="C50" i="17"/>
  <c r="C34" i="17"/>
  <c r="C37" i="23"/>
  <c r="C31" i="22"/>
  <c r="C13" i="20"/>
  <c r="C9" i="18"/>
  <c r="C55" i="17"/>
  <c r="C48" i="17"/>
  <c r="C41" i="17"/>
  <c r="C19" i="17"/>
  <c r="C42" i="16"/>
  <c r="C29" i="16"/>
  <c r="C22" i="16"/>
  <c r="C65" i="15"/>
  <c r="C61" i="15"/>
  <c r="C59" i="15"/>
  <c r="C52" i="15"/>
  <c r="C49" i="15"/>
  <c r="C46" i="15"/>
  <c r="C31" i="15"/>
  <c r="C27" i="15"/>
  <c r="C39" i="21"/>
  <c r="C10" i="20"/>
  <c r="C8" i="19"/>
  <c r="C30" i="17"/>
  <c r="C46" i="16"/>
  <c r="C33" i="16"/>
  <c r="C35" i="15"/>
  <c r="C32" i="15"/>
  <c r="C65" i="14"/>
  <c r="C27" i="14"/>
  <c r="C27" i="21"/>
  <c r="C32" i="20"/>
  <c r="C8" i="18"/>
  <c r="C51" i="17"/>
  <c r="C44" i="17"/>
  <c r="C37" i="17"/>
  <c r="C23" i="17"/>
  <c r="C50" i="16"/>
  <c r="C37" i="16"/>
  <c r="C57" i="15"/>
  <c r="C55" i="15"/>
  <c r="C50" i="15"/>
  <c r="C47" i="15"/>
  <c r="C44" i="15"/>
  <c r="C41" i="15"/>
  <c r="C38" i="15"/>
  <c r="C28" i="15"/>
  <c r="C21" i="15"/>
  <c r="C62" i="14"/>
  <c r="C58" i="14"/>
  <c r="C54" i="14"/>
  <c r="C50" i="14"/>
  <c r="C46" i="14"/>
  <c r="C42" i="14"/>
  <c r="C38" i="14"/>
  <c r="C34" i="14"/>
  <c r="C30" i="14"/>
  <c r="C21" i="13"/>
  <c r="C17" i="13"/>
  <c r="C13" i="13"/>
  <c r="C9" i="13"/>
  <c r="C56" i="22"/>
  <c r="C35" i="21"/>
  <c r="C12" i="18"/>
  <c r="C43" i="17"/>
  <c r="C36" i="17"/>
  <c r="C29" i="17"/>
  <c r="C22" i="17"/>
  <c r="C54" i="16"/>
  <c r="C41" i="16"/>
  <c r="C64" i="15"/>
  <c r="C25" i="15"/>
  <c r="C44" i="21"/>
  <c r="C23" i="21"/>
  <c r="C17" i="20"/>
  <c r="C8" i="20"/>
  <c r="C46" i="17"/>
  <c r="C49" i="16"/>
  <c r="C30" i="16"/>
  <c r="C19" i="16"/>
  <c r="C48" i="15"/>
  <c r="C45" i="15"/>
  <c r="C42" i="15"/>
  <c r="C19" i="15"/>
  <c r="C64" i="14"/>
  <c r="C16" i="23"/>
  <c r="C57" i="21"/>
  <c r="C60" i="14"/>
  <c r="C53" i="14"/>
  <c r="C51" i="14"/>
  <c r="C44" i="14"/>
  <c r="C37" i="14"/>
  <c r="C35" i="14"/>
  <c r="C26" i="14"/>
  <c r="C24" i="14"/>
  <c r="C16" i="13"/>
  <c r="C14" i="13"/>
  <c r="C28" i="17"/>
  <c r="C34" i="15"/>
  <c r="C22" i="14"/>
  <c r="C9" i="19"/>
  <c r="C27" i="17"/>
  <c r="C57" i="16"/>
  <c r="C45" i="16"/>
  <c r="C34" i="16"/>
  <c r="C23" i="16"/>
  <c r="C68" i="15"/>
  <c r="C56" i="15"/>
  <c r="C23" i="15"/>
  <c r="C56" i="14"/>
  <c r="C49" i="14"/>
  <c r="C47" i="14"/>
  <c r="C40" i="14"/>
  <c r="C33" i="14"/>
  <c r="C31" i="14"/>
  <c r="C19" i="13"/>
  <c r="C12" i="13"/>
  <c r="C10" i="13"/>
  <c r="C45" i="17"/>
  <c r="C35" i="17"/>
  <c r="C25" i="17"/>
  <c r="C60" i="15"/>
  <c r="C53" i="17"/>
  <c r="C36" i="15"/>
  <c r="C22" i="15"/>
  <c r="C63" i="14"/>
  <c r="C61" i="14"/>
  <c r="C59" i="14"/>
  <c r="C52" i="14"/>
  <c r="C45" i="14"/>
  <c r="C43" i="14"/>
  <c r="C36" i="14"/>
  <c r="C25" i="14"/>
  <c r="C15" i="13"/>
  <c r="C8" i="13"/>
  <c r="C52" i="17"/>
  <c r="C32" i="17"/>
  <c r="C38" i="16"/>
  <c r="C26" i="16"/>
  <c r="C39" i="15"/>
  <c r="C57" i="14"/>
  <c r="C55" i="14"/>
  <c r="C48" i="14"/>
  <c r="C41" i="14"/>
  <c r="C39" i="14"/>
  <c r="C32" i="14"/>
  <c r="C20" i="13"/>
  <c r="C18" i="13"/>
  <c r="C11" i="13"/>
  <c r="C43" i="21"/>
  <c r="C39" i="17"/>
  <c r="C53" i="16"/>
  <c r="C25" i="16"/>
  <c r="C40" i="15"/>
  <c r="C24" i="15"/>
  <c r="C37" i="15"/>
  <c r="C30" i="15"/>
  <c r="C53" i="15"/>
  <c r="C29" i="15"/>
  <c r="C22" i="13"/>
  <c r="C43" i="15"/>
  <c r="C46" i="4"/>
  <c r="B26" i="3"/>
  <c r="B34" i="3" s="1"/>
  <c r="C28" i="14"/>
  <c r="C50" i="4"/>
  <c r="C41" i="4"/>
  <c r="C39" i="4"/>
  <c r="C52" i="4"/>
  <c r="C43" i="4"/>
  <c r="C28" i="4"/>
  <c r="C20" i="4"/>
  <c r="C46" i="3"/>
  <c r="C44" i="3"/>
  <c r="C34" i="3"/>
  <c r="C26" i="3"/>
  <c r="C19" i="3"/>
  <c r="C16" i="3"/>
  <c r="C48" i="4"/>
  <c r="C35" i="4"/>
  <c r="C17" i="4"/>
  <c r="C36" i="3"/>
  <c r="C29" i="3"/>
  <c r="C49" i="4"/>
  <c r="C47" i="4"/>
  <c r="C43" i="3"/>
  <c r="C40" i="3"/>
  <c r="C28" i="3"/>
  <c r="C20" i="3"/>
  <c r="C44" i="4"/>
  <c r="C40" i="4"/>
  <c r="C33" i="4"/>
  <c r="C16" i="4"/>
  <c r="C51" i="4"/>
  <c r="C36" i="4"/>
  <c r="C34" i="4"/>
  <c r="C32" i="4"/>
  <c r="C19" i="4"/>
  <c r="C18" i="4"/>
  <c r="C39" i="3"/>
  <c r="C33" i="3"/>
  <c r="C18" i="3"/>
  <c r="C17" i="3"/>
  <c r="C38" i="4"/>
  <c r="C41" i="3"/>
  <c r="C38" i="3"/>
  <c r="C42" i="3"/>
  <c r="C31" i="4"/>
  <c r="C32" i="3"/>
  <c r="C25" i="3"/>
  <c r="C35" i="3"/>
  <c r="C31" i="3"/>
  <c r="C30" i="3"/>
  <c r="C42" i="4"/>
  <c r="C29" i="4"/>
  <c r="C26" i="4"/>
  <c r="C25" i="4"/>
  <c r="C30" i="4"/>
  <c r="C45" i="3"/>
  <c r="D20" i="4"/>
  <c r="D26" i="4" s="1"/>
  <c r="D34" i="4" s="1"/>
  <c r="D36" i="4" s="1"/>
  <c r="D44" i="4" s="1"/>
  <c r="D50" i="4" s="1"/>
  <c r="D52" i="4" s="1"/>
  <c r="F26" i="4"/>
  <c r="F34" i="4" s="1"/>
  <c r="F36" i="4" s="1"/>
  <c r="F44" i="4" s="1"/>
  <c r="F50" i="4" s="1"/>
  <c r="F52" i="4" s="1"/>
  <c r="J20" i="4"/>
  <c r="J26" i="4" s="1"/>
  <c r="J34" i="4" s="1"/>
  <c r="J36" i="4" s="1"/>
  <c r="J44" i="4" s="1"/>
  <c r="J50" i="4" s="1"/>
  <c r="J52" i="4" s="1"/>
  <c r="H33" i="4"/>
  <c r="H34" i="4" s="1"/>
  <c r="H36" i="4" s="1"/>
  <c r="H44" i="4" s="1"/>
  <c r="H50" i="4" s="1"/>
  <c r="H52" i="4" s="1"/>
  <c r="M23" i="4"/>
  <c r="L20" i="4"/>
  <c r="L26" i="4" s="1"/>
  <c r="L34" i="4" s="1"/>
  <c r="L36" i="4" s="1"/>
  <c r="L44" i="4" s="1"/>
  <c r="L50" i="4" s="1"/>
  <c r="L52" i="4" s="1"/>
  <c r="J20" i="3"/>
  <c r="B24" i="24" l="1"/>
  <c r="B36" i="3"/>
  <c r="B44" i="3" s="1"/>
  <c r="L24" i="24"/>
  <c r="L36" i="3"/>
  <c r="L44" i="3" s="1"/>
  <c r="F24" i="24"/>
  <c r="F36" i="3"/>
  <c r="F44" i="3" s="1"/>
  <c r="J25" i="24"/>
  <c r="J21" i="24"/>
  <c r="K45" i="23"/>
  <c r="K41" i="23"/>
  <c r="K37" i="23"/>
  <c r="K33" i="23"/>
  <c r="K29" i="23"/>
  <c r="K21" i="23"/>
  <c r="K13" i="23"/>
  <c r="K9" i="23"/>
  <c r="K61" i="22"/>
  <c r="K57" i="22"/>
  <c r="K51" i="22"/>
  <c r="K47" i="22"/>
  <c r="K43" i="22"/>
  <c r="K39" i="22"/>
  <c r="K35" i="22"/>
  <c r="K31" i="22"/>
  <c r="J22" i="24"/>
  <c r="K46" i="23"/>
  <c r="K42" i="23"/>
  <c r="K38" i="23"/>
  <c r="K34" i="23"/>
  <c r="K30" i="23"/>
  <c r="K26" i="23"/>
  <c r="K22" i="23"/>
  <c r="K18" i="23"/>
  <c r="K14" i="23"/>
  <c r="K10" i="23"/>
  <c r="K62" i="22"/>
  <c r="K52" i="22"/>
  <c r="K48" i="22"/>
  <c r="K44" i="22"/>
  <c r="K40" i="22"/>
  <c r="K36" i="22"/>
  <c r="K32" i="22"/>
  <c r="K48" i="23"/>
  <c r="K65" i="22"/>
  <c r="K55" i="22"/>
  <c r="K20" i="22"/>
  <c r="J23" i="24"/>
  <c r="K58" i="22"/>
  <c r="K25" i="22"/>
  <c r="K57" i="21"/>
  <c r="J28" i="24"/>
  <c r="K44" i="23"/>
  <c r="K36" i="23"/>
  <c r="K28" i="23"/>
  <c r="K12" i="23"/>
  <c r="K64" i="22"/>
  <c r="K28" i="22"/>
  <c r="K53" i="21"/>
  <c r="K42" i="21"/>
  <c r="K38" i="21"/>
  <c r="K34" i="21"/>
  <c r="K30" i="21"/>
  <c r="K26" i="21"/>
  <c r="K19" i="21"/>
  <c r="K30" i="20"/>
  <c r="K18" i="20"/>
  <c r="K56" i="22"/>
  <c r="K22" i="21"/>
  <c r="K21" i="20"/>
  <c r="K47" i="23"/>
  <c r="K66" i="22"/>
  <c r="K53" i="22"/>
  <c r="K45" i="22"/>
  <c r="K37" i="22"/>
  <c r="K23" i="22"/>
  <c r="K8" i="22"/>
  <c r="K54" i="21"/>
  <c r="K43" i="21"/>
  <c r="K39" i="21"/>
  <c r="K35" i="21"/>
  <c r="K31" i="21"/>
  <c r="K27" i="21"/>
  <c r="K20" i="21"/>
  <c r="K31" i="20"/>
  <c r="K23" i="20"/>
  <c r="K43" i="23"/>
  <c r="K35" i="23"/>
  <c r="K27" i="23"/>
  <c r="K24" i="23"/>
  <c r="K23" i="23"/>
  <c r="K11" i="23"/>
  <c r="K63" i="22"/>
  <c r="K50" i="22"/>
  <c r="K42" i="22"/>
  <c r="K34" i="22"/>
  <c r="K29" i="22"/>
  <c r="K56" i="21"/>
  <c r="K49" i="21"/>
  <c r="K45" i="21"/>
  <c r="K33" i="20"/>
  <c r="K26" i="20"/>
  <c r="K40" i="23"/>
  <c r="K54" i="22"/>
  <c r="K38" i="22"/>
  <c r="K52" i="21"/>
  <c r="K32" i="20"/>
  <c r="K28" i="20"/>
  <c r="K11" i="20"/>
  <c r="K10" i="19"/>
  <c r="K57" i="17"/>
  <c r="K15" i="23"/>
  <c r="K44" i="21"/>
  <c r="K40" i="21"/>
  <c r="K32" i="21"/>
  <c r="K21" i="21"/>
  <c r="K15" i="20"/>
  <c r="K13" i="20"/>
  <c r="K9" i="20"/>
  <c r="K8" i="19"/>
  <c r="K13" i="18"/>
  <c r="K9" i="18"/>
  <c r="K16" i="23"/>
  <c r="K8" i="23"/>
  <c r="K26" i="22"/>
  <c r="K51" i="21"/>
  <c r="K23" i="21"/>
  <c r="K16" i="18"/>
  <c r="K23" i="17"/>
  <c r="K32" i="23"/>
  <c r="K46" i="22"/>
  <c r="K30" i="22"/>
  <c r="K48" i="21"/>
  <c r="K17" i="21"/>
  <c r="K36" i="21"/>
  <c r="K14" i="20"/>
  <c r="K52" i="17"/>
  <c r="K36" i="17"/>
  <c r="K53" i="16"/>
  <c r="K49" i="16"/>
  <c r="K45" i="16"/>
  <c r="K41" i="16"/>
  <c r="K37" i="16"/>
  <c r="K33" i="16"/>
  <c r="K29" i="16"/>
  <c r="K25" i="16"/>
  <c r="K64" i="15"/>
  <c r="K60" i="15"/>
  <c r="K56" i="15"/>
  <c r="K52" i="15"/>
  <c r="K31" i="23"/>
  <c r="K60" i="22"/>
  <c r="K49" i="22"/>
  <c r="K47" i="21"/>
  <c r="K24" i="20"/>
  <c r="K10" i="20"/>
  <c r="K11" i="18"/>
  <c r="K50" i="17"/>
  <c r="K43" i="17"/>
  <c r="K41" i="17"/>
  <c r="K34" i="17"/>
  <c r="K27" i="17"/>
  <c r="K25" i="17"/>
  <c r="K17" i="17"/>
  <c r="K56" i="16"/>
  <c r="K17" i="16"/>
  <c r="K67" i="15"/>
  <c r="K39" i="23"/>
  <c r="K41" i="21"/>
  <c r="K25" i="21"/>
  <c r="K8" i="20"/>
  <c r="K15" i="18"/>
  <c r="K56" i="17"/>
  <c r="K48" i="17"/>
  <c r="K32" i="17"/>
  <c r="K19" i="17"/>
  <c r="K54" i="16"/>
  <c r="K50" i="16"/>
  <c r="K46" i="16"/>
  <c r="K42" i="16"/>
  <c r="K38" i="16"/>
  <c r="K34" i="16"/>
  <c r="K30" i="16"/>
  <c r="K26" i="16"/>
  <c r="K19" i="16"/>
  <c r="K65" i="15"/>
  <c r="K24" i="22"/>
  <c r="K28" i="21"/>
  <c r="K29" i="20"/>
  <c r="K10" i="18"/>
  <c r="K44" i="17"/>
  <c r="K28" i="17"/>
  <c r="K19" i="23"/>
  <c r="K19" i="20"/>
  <c r="K51" i="17"/>
  <c r="K33" i="17"/>
  <c r="K26" i="17"/>
  <c r="K52" i="16"/>
  <c r="K39" i="16"/>
  <c r="K62" i="15"/>
  <c r="K55" i="15"/>
  <c r="K53" i="15"/>
  <c r="K29" i="15"/>
  <c r="K22" i="15"/>
  <c r="K63" i="14"/>
  <c r="K22" i="22"/>
  <c r="K8" i="18"/>
  <c r="K40" i="17"/>
  <c r="K20" i="17"/>
  <c r="K43" i="16"/>
  <c r="K22" i="16"/>
  <c r="K66" i="15"/>
  <c r="K45" i="15"/>
  <c r="K42" i="15"/>
  <c r="K39" i="15"/>
  <c r="K36" i="15"/>
  <c r="K32" i="15"/>
  <c r="K65" i="14"/>
  <c r="K27" i="14"/>
  <c r="K37" i="21"/>
  <c r="K17" i="20"/>
  <c r="K12" i="18"/>
  <c r="K54" i="17"/>
  <c r="K47" i="17"/>
  <c r="K29" i="17"/>
  <c r="K57" i="16"/>
  <c r="K47" i="16"/>
  <c r="K28" i="16"/>
  <c r="K23" i="16"/>
  <c r="K58" i="15"/>
  <c r="K48" i="15"/>
  <c r="K30" i="15"/>
  <c r="K23" i="15"/>
  <c r="K60" i="14"/>
  <c r="K56" i="14"/>
  <c r="K52" i="14"/>
  <c r="K48" i="14"/>
  <c r="K44" i="14"/>
  <c r="K40" i="14"/>
  <c r="K36" i="14"/>
  <c r="K32" i="14"/>
  <c r="K25" i="14"/>
  <c r="K19" i="13"/>
  <c r="K15" i="13"/>
  <c r="K11" i="13"/>
  <c r="K53" i="17"/>
  <c r="K46" i="17"/>
  <c r="K39" i="17"/>
  <c r="K51" i="16"/>
  <c r="K32" i="16"/>
  <c r="K21" i="16"/>
  <c r="K50" i="15"/>
  <c r="K37" i="15"/>
  <c r="K34" i="15"/>
  <c r="K25" i="15"/>
  <c r="K41" i="22"/>
  <c r="K55" i="21"/>
  <c r="K33" i="21"/>
  <c r="K14" i="18"/>
  <c r="K40" i="16"/>
  <c r="K27" i="16"/>
  <c r="K63" i="15"/>
  <c r="K19" i="15"/>
  <c r="K64" i="14"/>
  <c r="K20" i="23"/>
  <c r="K33" i="22"/>
  <c r="K29" i="21"/>
  <c r="K38" i="17"/>
  <c r="K35" i="16"/>
  <c r="K61" i="15"/>
  <c r="K28" i="15"/>
  <c r="K61" i="14"/>
  <c r="K54" i="14"/>
  <c r="K47" i="14"/>
  <c r="K45" i="14"/>
  <c r="K38" i="14"/>
  <c r="K31" i="14"/>
  <c r="K17" i="13"/>
  <c r="K10" i="13"/>
  <c r="K8" i="13"/>
  <c r="K25" i="20"/>
  <c r="K20" i="20"/>
  <c r="K9" i="19"/>
  <c r="K37" i="17"/>
  <c r="K68" i="15"/>
  <c r="K49" i="15"/>
  <c r="K41" i="15"/>
  <c r="K31" i="15"/>
  <c r="K28" i="14"/>
  <c r="K55" i="17"/>
  <c r="K45" i="17"/>
  <c r="K35" i="17"/>
  <c r="K20" i="16"/>
  <c r="K27" i="15"/>
  <c r="K24" i="15"/>
  <c r="K59" i="14"/>
  <c r="K57" i="14"/>
  <c r="K50" i="14"/>
  <c r="K43" i="14"/>
  <c r="K41" i="14"/>
  <c r="K34" i="14"/>
  <c r="K20" i="13"/>
  <c r="K13" i="13"/>
  <c r="K55" i="16"/>
  <c r="K44" i="16"/>
  <c r="K42" i="17"/>
  <c r="K59" i="15"/>
  <c r="K54" i="15"/>
  <c r="K44" i="15"/>
  <c r="K55" i="14"/>
  <c r="K53" i="14"/>
  <c r="K46" i="14"/>
  <c r="K39" i="14"/>
  <c r="K37" i="14"/>
  <c r="K30" i="14"/>
  <c r="K26" i="14"/>
  <c r="K22" i="13"/>
  <c r="K18" i="13"/>
  <c r="K16" i="13"/>
  <c r="K9" i="13"/>
  <c r="K31" i="16"/>
  <c r="K49" i="17"/>
  <c r="K31" i="17"/>
  <c r="K21" i="17"/>
  <c r="K48" i="16"/>
  <c r="K36" i="16"/>
  <c r="K47" i="15"/>
  <c r="K58" i="14"/>
  <c r="K51" i="14"/>
  <c r="K49" i="14"/>
  <c r="K42" i="14"/>
  <c r="K35" i="14"/>
  <c r="K33" i="14"/>
  <c r="K24" i="14"/>
  <c r="K21" i="13"/>
  <c r="K14" i="13"/>
  <c r="K12" i="13"/>
  <c r="K30" i="17"/>
  <c r="K22" i="17"/>
  <c r="K57" i="15"/>
  <c r="K38" i="15"/>
  <c r="K35" i="15"/>
  <c r="K21" i="15"/>
  <c r="K62" i="14"/>
  <c r="K46" i="15"/>
  <c r="K43" i="15"/>
  <c r="K40" i="15"/>
  <c r="K48" i="4"/>
  <c r="K45" i="3"/>
  <c r="J26" i="3"/>
  <c r="J34" i="3" s="1"/>
  <c r="K22" i="14"/>
  <c r="K41" i="4"/>
  <c r="K39" i="4"/>
  <c r="K36" i="4"/>
  <c r="K33" i="4"/>
  <c r="K25" i="4"/>
  <c r="K18" i="4"/>
  <c r="K17" i="3"/>
  <c r="K50" i="4"/>
  <c r="K46" i="4"/>
  <c r="K19" i="3"/>
  <c r="K52" i="4"/>
  <c r="K43" i="4"/>
  <c r="K35" i="4"/>
  <c r="K28" i="4"/>
  <c r="K20" i="4"/>
  <c r="K46" i="3"/>
  <c r="K44" i="3"/>
  <c r="K34" i="3"/>
  <c r="K29" i="3"/>
  <c r="K26" i="3"/>
  <c r="K16" i="3"/>
  <c r="K25" i="3"/>
  <c r="K29" i="4"/>
  <c r="K42" i="4"/>
  <c r="K40" i="3"/>
  <c r="K30" i="3"/>
  <c r="K49" i="4"/>
  <c r="K28" i="3"/>
  <c r="K40" i="4"/>
  <c r="K32" i="4"/>
  <c r="K26" i="4"/>
  <c r="K38" i="3"/>
  <c r="K19" i="4"/>
  <c r="K17" i="4"/>
  <c r="K16" i="4"/>
  <c r="K43" i="3"/>
  <c r="K42" i="3"/>
  <c r="K20" i="3"/>
  <c r="K32" i="3"/>
  <c r="K33" i="3"/>
  <c r="K18" i="3"/>
  <c r="K34" i="4"/>
  <c r="K30" i="4"/>
  <c r="K41" i="3"/>
  <c r="K51" i="4"/>
  <c r="K36" i="3"/>
  <c r="K35" i="3"/>
  <c r="K31" i="3"/>
  <c r="K39" i="3"/>
  <c r="K47" i="4"/>
  <c r="K44" i="4"/>
  <c r="K38" i="4"/>
  <c r="K31" i="4"/>
  <c r="H24" i="24"/>
  <c r="H36" i="3"/>
  <c r="H44" i="3" s="1"/>
  <c r="D23" i="24"/>
  <c r="D28" i="24"/>
  <c r="D25" i="24"/>
  <c r="D21" i="24"/>
  <c r="E45" i="23"/>
  <c r="E41" i="23"/>
  <c r="E37" i="23"/>
  <c r="E33" i="23"/>
  <c r="E29" i="23"/>
  <c r="E21" i="23"/>
  <c r="E13" i="23"/>
  <c r="E9" i="23"/>
  <c r="E61" i="22"/>
  <c r="E58" i="22"/>
  <c r="E57" i="22"/>
  <c r="E51" i="22"/>
  <c r="E47" i="22"/>
  <c r="E43" i="22"/>
  <c r="E39" i="22"/>
  <c r="E35" i="22"/>
  <c r="E31" i="22"/>
  <c r="E25" i="22"/>
  <c r="E24" i="22"/>
  <c r="E57" i="21"/>
  <c r="D22" i="24"/>
  <c r="E47" i="23"/>
  <c r="E46" i="23"/>
  <c r="E42" i="23"/>
  <c r="E38" i="23"/>
  <c r="E34" i="23"/>
  <c r="E30" i="23"/>
  <c r="E26" i="23"/>
  <c r="E22" i="23"/>
  <c r="E18" i="23"/>
  <c r="E14" i="23"/>
  <c r="E10" i="23"/>
  <c r="E66" i="22"/>
  <c r="E62" i="22"/>
  <c r="E56" i="22"/>
  <c r="E52" i="22"/>
  <c r="E48" i="22"/>
  <c r="E44" i="22"/>
  <c r="E40" i="22"/>
  <c r="E36" i="22"/>
  <c r="E32" i="22"/>
  <c r="E28" i="22"/>
  <c r="E49" i="22"/>
  <c r="E41" i="22"/>
  <c r="E33" i="22"/>
  <c r="E56" i="21"/>
  <c r="E39" i="23"/>
  <c r="E31" i="23"/>
  <c r="E19" i="23"/>
  <c r="E15" i="23"/>
  <c r="E54" i="22"/>
  <c r="E46" i="22"/>
  <c r="E38" i="22"/>
  <c r="E30" i="22"/>
  <c r="E26" i="22"/>
  <c r="E22" i="22"/>
  <c r="E20" i="22"/>
  <c r="E52" i="21"/>
  <c r="E49" i="21"/>
  <c r="E48" i="21"/>
  <c r="E45" i="21"/>
  <c r="E41" i="21"/>
  <c r="E37" i="21"/>
  <c r="E33" i="21"/>
  <c r="E29" i="21"/>
  <c r="E25" i="21"/>
  <c r="E33" i="20"/>
  <c r="E29" i="20"/>
  <c r="E26" i="20"/>
  <c r="E25" i="20"/>
  <c r="E17" i="20"/>
  <c r="E44" i="23"/>
  <c r="E36" i="23"/>
  <c r="E28" i="23"/>
  <c r="E12" i="23"/>
  <c r="E64" i="22"/>
  <c r="E16" i="23"/>
  <c r="E53" i="21"/>
  <c r="E42" i="21"/>
  <c r="E38" i="21"/>
  <c r="E34" i="21"/>
  <c r="E30" i="21"/>
  <c r="E26" i="21"/>
  <c r="E23" i="21"/>
  <c r="E19" i="21"/>
  <c r="E30" i="20"/>
  <c r="E18" i="20"/>
  <c r="E23" i="23"/>
  <c r="E60" i="22"/>
  <c r="E36" i="21"/>
  <c r="E28" i="21"/>
  <c r="E16" i="18"/>
  <c r="E15" i="18"/>
  <c r="E11" i="18"/>
  <c r="E54" i="17"/>
  <c r="E50" i="17"/>
  <c r="E46" i="17"/>
  <c r="E42" i="17"/>
  <c r="E38" i="17"/>
  <c r="E34" i="17"/>
  <c r="E30" i="17"/>
  <c r="E26" i="17"/>
  <c r="E35" i="23"/>
  <c r="E53" i="22"/>
  <c r="E37" i="22"/>
  <c r="E23" i="22"/>
  <c r="E55" i="21"/>
  <c r="E47" i="21"/>
  <c r="E31" i="20"/>
  <c r="E40" i="23"/>
  <c r="E42" i="22"/>
  <c r="E43" i="21"/>
  <c r="E35" i="21"/>
  <c r="E27" i="21"/>
  <c r="E24" i="20"/>
  <c r="E20" i="20"/>
  <c r="E8" i="20"/>
  <c r="E12" i="18"/>
  <c r="E8" i="18"/>
  <c r="E56" i="17"/>
  <c r="E55" i="17"/>
  <c r="E51" i="17"/>
  <c r="E47" i="17"/>
  <c r="E43" i="17"/>
  <c r="E39" i="17"/>
  <c r="E35" i="17"/>
  <c r="E31" i="17"/>
  <c r="E27" i="17"/>
  <c r="E24" i="23"/>
  <c r="E8" i="23"/>
  <c r="E40" i="21"/>
  <c r="E32" i="21"/>
  <c r="E21" i="21"/>
  <c r="E32" i="23"/>
  <c r="E50" i="22"/>
  <c r="E29" i="22"/>
  <c r="E20" i="21"/>
  <c r="E19" i="20"/>
  <c r="E14" i="18"/>
  <c r="E49" i="17"/>
  <c r="E40" i="17"/>
  <c r="E33" i="17"/>
  <c r="E8" i="22"/>
  <c r="E31" i="21"/>
  <c r="E22" i="17"/>
  <c r="E21" i="17"/>
  <c r="E52" i="16"/>
  <c r="E48" i="16"/>
  <c r="E44" i="16"/>
  <c r="E40" i="16"/>
  <c r="E36" i="16"/>
  <c r="E32" i="16"/>
  <c r="E28" i="16"/>
  <c r="E22" i="16"/>
  <c r="E21" i="16"/>
  <c r="E63" i="15"/>
  <c r="E59" i="15"/>
  <c r="E55" i="15"/>
  <c r="E47" i="15"/>
  <c r="E43" i="15"/>
  <c r="E39" i="15"/>
  <c r="E35" i="15"/>
  <c r="E21" i="20"/>
  <c r="E9" i="19"/>
  <c r="E9" i="18"/>
  <c r="E52" i="17"/>
  <c r="E45" i="17"/>
  <c r="E36" i="17"/>
  <c r="E29" i="17"/>
  <c r="E27" i="23"/>
  <c r="E11" i="23"/>
  <c r="E55" i="22"/>
  <c r="E45" i="22"/>
  <c r="E65" i="22"/>
  <c r="E34" i="22"/>
  <c r="E51" i="21"/>
  <c r="E17" i="21"/>
  <c r="E10" i="20"/>
  <c r="E10" i="19"/>
  <c r="E48" i="17"/>
  <c r="E41" i="17"/>
  <c r="E32" i="17"/>
  <c r="E25" i="17"/>
  <c r="E39" i="21"/>
  <c r="E32" i="20"/>
  <c r="E8" i="19"/>
  <c r="E13" i="18"/>
  <c r="E23" i="17"/>
  <c r="E56" i="16"/>
  <c r="E46" i="16"/>
  <c r="E33" i="16"/>
  <c r="E27" i="16"/>
  <c r="E50" i="15"/>
  <c r="E63" i="22"/>
  <c r="E44" i="17"/>
  <c r="E37" i="17"/>
  <c r="E50" i="16"/>
  <c r="E37" i="16"/>
  <c r="E31" i="16"/>
  <c r="E20" i="16"/>
  <c r="E57" i="15"/>
  <c r="E44" i="15"/>
  <c r="E41" i="15"/>
  <c r="E38" i="15"/>
  <c r="E28" i="15"/>
  <c r="E25" i="15"/>
  <c r="E21" i="15"/>
  <c r="E62" i="14"/>
  <c r="E58" i="14"/>
  <c r="E54" i="14"/>
  <c r="E50" i="14"/>
  <c r="E46" i="14"/>
  <c r="E42" i="14"/>
  <c r="E38" i="14"/>
  <c r="E34" i="14"/>
  <c r="E30" i="14"/>
  <c r="E22" i="13"/>
  <c r="E21" i="13"/>
  <c r="E17" i="13"/>
  <c r="E13" i="13"/>
  <c r="E9" i="13"/>
  <c r="E44" i="21"/>
  <c r="E22" i="21"/>
  <c r="E15" i="20"/>
  <c r="E54" i="16"/>
  <c r="E41" i="16"/>
  <c r="E35" i="16"/>
  <c r="E68" i="15"/>
  <c r="E64" i="15"/>
  <c r="E9" i="20"/>
  <c r="E45" i="16"/>
  <c r="E39" i="16"/>
  <c r="E26" i="16"/>
  <c r="E17" i="16"/>
  <c r="E62" i="15"/>
  <c r="E60" i="15"/>
  <c r="E53" i="15"/>
  <c r="E36" i="15"/>
  <c r="E29" i="15"/>
  <c r="E22" i="15"/>
  <c r="E19" i="15"/>
  <c r="E48" i="23"/>
  <c r="E43" i="23"/>
  <c r="E14" i="20"/>
  <c r="E11" i="20"/>
  <c r="E53" i="17"/>
  <c r="E28" i="17"/>
  <c r="E57" i="16"/>
  <c r="E53" i="16"/>
  <c r="E47" i="16"/>
  <c r="E34" i="16"/>
  <c r="E23" i="16"/>
  <c r="E67" i="15"/>
  <c r="E58" i="15"/>
  <c r="E56" i="15"/>
  <c r="E30" i="15"/>
  <c r="E24" i="15"/>
  <c r="E23" i="15"/>
  <c r="E20" i="23"/>
  <c r="E54" i="21"/>
  <c r="E20" i="17"/>
  <c r="E42" i="15"/>
  <c r="E34" i="15"/>
  <c r="E65" i="14"/>
  <c r="E27" i="14"/>
  <c r="E13" i="20"/>
  <c r="E29" i="16"/>
  <c r="E52" i="15"/>
  <c r="E46" i="15"/>
  <c r="E56" i="14"/>
  <c r="E49" i="14"/>
  <c r="E47" i="14"/>
  <c r="E40" i="14"/>
  <c r="E33" i="14"/>
  <c r="E31" i="14"/>
  <c r="E19" i="13"/>
  <c r="E12" i="13"/>
  <c r="E10" i="13"/>
  <c r="E28" i="20"/>
  <c r="E23" i="20"/>
  <c r="E19" i="17"/>
  <c r="E51" i="16"/>
  <c r="E66" i="15"/>
  <c r="E61" i="15"/>
  <c r="E45" i="15"/>
  <c r="E37" i="15"/>
  <c r="E57" i="17"/>
  <c r="E49" i="15"/>
  <c r="E49" i="16"/>
  <c r="E38" i="16"/>
  <c r="E19" i="16"/>
  <c r="E65" i="15"/>
  <c r="E48" i="15"/>
  <c r="E40" i="15"/>
  <c r="E27" i="15"/>
  <c r="E55" i="16"/>
  <c r="E43" i="16"/>
  <c r="E17" i="17"/>
  <c r="E25" i="16"/>
  <c r="E54" i="15"/>
  <c r="E32" i="15"/>
  <c r="E10" i="18"/>
  <c r="E42" i="16"/>
  <c r="E30" i="16"/>
  <c r="E59" i="14"/>
  <c r="E45" i="14"/>
  <c r="E25" i="14"/>
  <c r="E35" i="14"/>
  <c r="E16" i="13"/>
  <c r="E11" i="13"/>
  <c r="E63" i="14"/>
  <c r="E44" i="14"/>
  <c r="E39" i="14"/>
  <c r="E24" i="14"/>
  <c r="E20" i="13"/>
  <c r="E15" i="13"/>
  <c r="E31" i="15"/>
  <c r="E53" i="14"/>
  <c r="E48" i="14"/>
  <c r="E43" i="14"/>
  <c r="E61" i="14"/>
  <c r="E28" i="14"/>
  <c r="E18" i="13"/>
  <c r="E64" i="14"/>
  <c r="E60" i="14"/>
  <c r="E55" i="14"/>
  <c r="E41" i="14"/>
  <c r="E36" i="14"/>
  <c r="E26" i="14"/>
  <c r="E22" i="14"/>
  <c r="E37" i="14"/>
  <c r="E52" i="14"/>
  <c r="E14" i="13"/>
  <c r="E51" i="14"/>
  <c r="E32" i="14"/>
  <c r="E8" i="13"/>
  <c r="E57" i="14"/>
  <c r="E35" i="4"/>
  <c r="E17" i="4"/>
  <c r="E36" i="3"/>
  <c r="E29" i="3"/>
  <c r="D26" i="3"/>
  <c r="D34" i="3" s="1"/>
  <c r="E48" i="4"/>
  <c r="E32" i="4"/>
  <c r="E30" i="4"/>
  <c r="E43" i="3"/>
  <c r="E41" i="3"/>
  <c r="E39" i="3"/>
  <c r="E31" i="3"/>
  <c r="E25" i="3"/>
  <c r="E49" i="4"/>
  <c r="E42" i="4"/>
  <c r="E40" i="4"/>
  <c r="E38" i="4"/>
  <c r="E26" i="4"/>
  <c r="E19" i="4"/>
  <c r="E33" i="3"/>
  <c r="E18" i="3"/>
  <c r="E50" i="4"/>
  <c r="E34" i="4"/>
  <c r="E18" i="4"/>
  <c r="E46" i="3"/>
  <c r="E17" i="3"/>
  <c r="E39" i="4"/>
  <c r="E36" i="4"/>
  <c r="E42" i="3"/>
  <c r="E19" i="3"/>
  <c r="E28" i="4"/>
  <c r="E51" i="4"/>
  <c r="E46" i="4"/>
  <c r="E31" i="4"/>
  <c r="E20" i="4"/>
  <c r="E44" i="3"/>
  <c r="E32" i="3"/>
  <c r="E40" i="3"/>
  <c r="E25" i="4"/>
  <c r="E45" i="3"/>
  <c r="E30" i="3"/>
  <c r="E28" i="3"/>
  <c r="E26" i="3"/>
  <c r="E20" i="3"/>
  <c r="E52" i="4"/>
  <c r="E47" i="4"/>
  <c r="E44" i="4"/>
  <c r="E43" i="4"/>
  <c r="E41" i="4"/>
  <c r="E33" i="4"/>
  <c r="E16" i="4"/>
  <c r="E16" i="3"/>
  <c r="E38" i="3"/>
  <c r="E35" i="3"/>
  <c r="E34" i="3"/>
  <c r="E29" i="4"/>
  <c r="D24" i="24" l="1"/>
  <c r="D36" i="3"/>
  <c r="D44" i="3" s="1"/>
  <c r="F27" i="24"/>
  <c r="F46" i="3"/>
  <c r="F29" i="24" s="1"/>
  <c r="H27" i="24"/>
  <c r="H46" i="3"/>
  <c r="H29" i="24" s="1"/>
  <c r="J24" i="24"/>
  <c r="J36" i="3"/>
  <c r="J44" i="3" s="1"/>
  <c r="L27" i="24"/>
  <c r="L46" i="3"/>
  <c r="L29" i="24" s="1"/>
  <c r="B27" i="24"/>
  <c r="B46" i="3"/>
  <c r="B29" i="24" s="1"/>
  <c r="J27" i="24" l="1"/>
  <c r="J46" i="3"/>
  <c r="J29" i="24" s="1"/>
  <c r="D27" i="24"/>
  <c r="D46" i="3"/>
  <c r="D29" i="24" s="1"/>
</calcChain>
</file>

<file path=xl/sharedStrings.xml><?xml version="1.0" encoding="utf-8"?>
<sst xmlns="http://schemas.openxmlformats.org/spreadsheetml/2006/main" count="1605" uniqueCount="544">
  <si>
    <t>HOTEL FINANCIAL REPORTING TEMPLATES</t>
  </si>
  <si>
    <t>Uniform System of Accounts for the Lodging Industry (USALI) — 11th Revised Edition</t>
  </si>
  <si>
    <t>A complete, ready-to-use set of operating statements and departmental schedules formatted in conformity with the USALI standard adopted across the global hotel industry.</t>
  </si>
  <si>
    <t>How to use this workbook</t>
  </si>
  <si>
    <t>1.  Open "Setup &amp; Assumptions" and enter your property name, period and currency.</t>
  </si>
  <si>
    <t>2.  Enter actual / budget / prior-year figures into the blue cells on each departmental schedule.</t>
  </si>
  <si>
    <t>3.  Departmental totals roll up automatically to the two Summary Operating Statements.</t>
  </si>
  <si>
    <t>4.  Review the "Operating Metrics &amp; Ratios" sheet for auto-calculated KPIs (Occupancy, ADR, RevPAR, GOP, EBITDA).</t>
  </si>
  <si>
    <t>Colour legend</t>
  </si>
  <si>
    <t>Blue text</t>
  </si>
  <si>
    <t>Input cells — enter your figures here</t>
  </si>
  <si>
    <t>Black text</t>
  </si>
  <si>
    <t>Calculated totals and sub-totals — do not overwrite</t>
  </si>
  <si>
    <t>Green text</t>
  </si>
  <si>
    <t>Links pulling values from another worksheet</t>
  </si>
  <si>
    <t>Schedules included</t>
  </si>
  <si>
    <t>Summary Operating Statement</t>
  </si>
  <si>
    <t>For Operators (EBITDA less Replacement Reserve) and For Owners (Net Income)</t>
  </si>
  <si>
    <t>Schedule 1</t>
  </si>
  <si>
    <t>Rooms</t>
  </si>
  <si>
    <t>Schedule 2</t>
  </si>
  <si>
    <t>Food and Beverage</t>
  </si>
  <si>
    <t>Schedule 3 + 3-1/3-2/3-3/3-x/3-xx</t>
  </si>
  <si>
    <t>Other Operated Departments (Golf, Health Club/Spa, Parking, Generic, Minor)</t>
  </si>
  <si>
    <t>Schedule 4</t>
  </si>
  <si>
    <t>Miscellaneous Income</t>
  </si>
  <si>
    <t>Schedule 5</t>
  </si>
  <si>
    <t>Administrative and General</t>
  </si>
  <si>
    <t>Schedule 6</t>
  </si>
  <si>
    <t>Information and Telecommunications Systems</t>
  </si>
  <si>
    <t>Schedule 7</t>
  </si>
  <si>
    <t>Sales and Marketing</t>
  </si>
  <si>
    <t>Schedule 8</t>
  </si>
  <si>
    <t>Property Operation and Maintenance</t>
  </si>
  <si>
    <t>Schedule 9</t>
  </si>
  <si>
    <t>Utilities</t>
  </si>
  <si>
    <t>Schedule 10</t>
  </si>
  <si>
    <t>Management Fees</t>
  </si>
  <si>
    <t>Schedule 11</t>
  </si>
  <si>
    <t>Non-Operating Income and Expenses</t>
  </si>
  <si>
    <t>Schedule 12</t>
  </si>
  <si>
    <t>House Laundry</t>
  </si>
  <si>
    <t>Schedule 13</t>
  </si>
  <si>
    <t>Staff Dining</t>
  </si>
  <si>
    <t>Schedule 14</t>
  </si>
  <si>
    <t>Payroll-Related Expenses</t>
  </si>
  <si>
    <t>Operating Metrics &amp; Ratios</t>
  </si>
  <si>
    <t>Occupancy, ADR, RevPAR, Total RevPAR, GOP, GOPPAR, EBITDA and more</t>
  </si>
  <si>
    <t>This template is provided for financial-reporting convenience. It reproduces the line-item structure of the USALI 11th Revised Edition for practitioner use; it is not the copyrighted text of the standard. The USALI is published by the Hospitality Financial and Technology Professionals (HFTP) and the American Hotel &amp; Lodging Association. Refer to the official publication for full account definitions and guidance.</t>
  </si>
  <si>
    <t>SETUP &amp; ASSUMPTIONS</t>
  </si>
  <si>
    <t>Property Details</t>
  </si>
  <si>
    <t>Property / Hotel Name</t>
  </si>
  <si>
    <t>Enter property name</t>
  </si>
  <si>
    <t>Reporting Period / Year</t>
  </si>
  <si>
    <t>e.g. January 2026 / FY2026</t>
  </si>
  <si>
    <t>Reporting Currency</t>
  </si>
  <si>
    <t>INR</t>
  </si>
  <si>
    <t>Prepared By</t>
  </si>
  <si>
    <t>Date Prepared</t>
  </si>
  <si>
    <t>Notes on Use</t>
  </si>
  <si>
    <t>•  The Property Name and Reporting Period entered above flow automatically to the header of every schedule.</t>
  </si>
  <si>
    <t>•  Enter all amounts in the blue (input) cells only. Black figures are calculated; do not overwrite them.</t>
  </si>
  <si>
    <t>•  Green figures are links pulling totals from other worksheets within this workbook.</t>
  </si>
  <si>
    <t>•  Enter "Less: Allowances" and credit/recovery lines as positive numbers — the formulas subtract them.</t>
  </si>
  <si>
    <t>•  The Replacement Reserve (Operators statement) and Interest / Depreciation / Amortization / Income Taxes</t>
  </si>
  <si>
    <t xml:space="preserve">   (Owners statement) are entered directly on the respective Summary Operating Statement.</t>
  </si>
  <si>
    <t>•  House Laundry (Sch 12) and Staff Dining (Sch 13) are allocated to operating departments and are not</t>
  </si>
  <si>
    <t xml:space="preserve">   shown separately on the Summary Operating Statement.</t>
  </si>
  <si>
    <t>•  You may delete line items that do not apply to your property. Do not add or rename approved USALI line</t>
  </si>
  <si>
    <t xml:space="preserve">   items; instead create a supporting sub-account/sub-schedule that rolls into the appropriate line.</t>
  </si>
  <si>
    <t>SUMMARY OPERATING STATEMENT  [For Operators]</t>
  </si>
  <si>
    <t>Property:</t>
  </si>
  <si>
    <t>Period / Year:</t>
  </si>
  <si>
    <t>Bottom line: EBITDA Less Replacement Reserve. Revenue/expense % is of Total Operating Revenue; departmental expense % is of departmental revenue.</t>
  </si>
  <si>
    <t>Current Period</t>
  </si>
  <si>
    <t>Year-To-Date</t>
  </si>
  <si>
    <t>Actual</t>
  </si>
  <si>
    <t>Forecast / Budget</t>
  </si>
  <si>
    <t>Prior Year</t>
  </si>
  <si>
    <t>Line Item</t>
  </si>
  <si>
    <t>$</t>
  </si>
  <si>
    <t>%</t>
  </si>
  <si>
    <t>Operating Statistics</t>
  </si>
  <si>
    <t xml:space="preserve">   Rooms Available</t>
  </si>
  <si>
    <t xml:space="preserve">   Rooms Sold</t>
  </si>
  <si>
    <t xml:space="preserve">   Occupancy %</t>
  </si>
  <si>
    <t xml:space="preserve">   ADR (Average Daily Rate)</t>
  </si>
  <si>
    <t xml:space="preserve">   Rooms RevPAR</t>
  </si>
  <si>
    <t xml:space="preserve">   Total RevPAR</t>
  </si>
  <si>
    <t>Operating Revenue</t>
  </si>
  <si>
    <t xml:space="preserve">   Rooms</t>
  </si>
  <si>
    <t xml:space="preserve">   Food and Beverage</t>
  </si>
  <si>
    <t xml:space="preserve">   Other Operated Departments</t>
  </si>
  <si>
    <t xml:space="preserve">   Miscellaneous Income</t>
  </si>
  <si>
    <t xml:space="preserve">   Total Operating Revenue</t>
  </si>
  <si>
    <t>Departmental Expenses</t>
  </si>
  <si>
    <t xml:space="preserve">   Total Departmental Expenses</t>
  </si>
  <si>
    <t xml:space="preserve">   Total Departmental Profit</t>
  </si>
  <si>
    <t>Undistributed Operating Expenses</t>
  </si>
  <si>
    <t xml:space="preserve">   Administrative and General</t>
  </si>
  <si>
    <t xml:space="preserve">   Information and Telecommunications Systems</t>
  </si>
  <si>
    <t xml:space="preserve">   Sales and Marketing</t>
  </si>
  <si>
    <t xml:space="preserve">   Property Operation and Maintenance</t>
  </si>
  <si>
    <t xml:space="preserve">   Utilities</t>
  </si>
  <si>
    <t xml:space="preserve">   Total Undistributed Expenses</t>
  </si>
  <si>
    <t xml:space="preserve">   Gross Operating Profit</t>
  </si>
  <si>
    <t xml:space="preserve">   Management Fees</t>
  </si>
  <si>
    <t xml:space="preserve">   Income Before Non-Operating Income and Expenses</t>
  </si>
  <si>
    <t xml:space="preserve">   Income</t>
  </si>
  <si>
    <t xml:space="preserve">   Rent</t>
  </si>
  <si>
    <t xml:space="preserve">   Property and Other Taxes</t>
  </si>
  <si>
    <t xml:space="preserve">   Insurance</t>
  </si>
  <si>
    <t xml:space="preserve">   Other</t>
  </si>
  <si>
    <t xml:space="preserve">   Total Non-Operating Income and Expenses</t>
  </si>
  <si>
    <t xml:space="preserve">   Earnings Before Interest, Taxes, Depreciation, and Amortization</t>
  </si>
  <si>
    <t>Replacement Reserve</t>
  </si>
  <si>
    <t xml:space="preserve">   EBITDA Less Replacement Reserve</t>
  </si>
  <si>
    <t>SUMMARY OPERATING STATEMENT  [For Owners]</t>
  </si>
  <si>
    <t>Bottom line: Net Income. Revenue/expense % is of Total Operating Revenue; departmental expense % is of departmental revenue.</t>
  </si>
  <si>
    <t>Interest, Depreciation, and Amortization</t>
  </si>
  <si>
    <t xml:space="preserve">   Interest</t>
  </si>
  <si>
    <t xml:space="preserve">   Depreciation</t>
  </si>
  <si>
    <t xml:space="preserve">   Amortization</t>
  </si>
  <si>
    <t xml:space="preserve">   Total Interest, Depreciation, and Amortization</t>
  </si>
  <si>
    <t xml:space="preserve">   Income Before Income Taxes</t>
  </si>
  <si>
    <t>Income Taxes</t>
  </si>
  <si>
    <t xml:space="preserve">   Net Income</t>
  </si>
  <si>
    <t>ROOMS — SCHEDULE 1</t>
  </si>
  <si>
    <t>Departmental percentages are calculated on Total Rooms Revenue.</t>
  </si>
  <si>
    <t>Revenue</t>
  </si>
  <si>
    <t xml:space="preserve">   Transient Rooms Revenue</t>
  </si>
  <si>
    <t xml:space="preserve">      Retail</t>
  </si>
  <si>
    <t xml:space="preserve">      Discount</t>
  </si>
  <si>
    <t xml:space="preserve">      Negotiated</t>
  </si>
  <si>
    <t xml:space="preserve">      Qualified</t>
  </si>
  <si>
    <t xml:space="preserve">      Wholesale</t>
  </si>
  <si>
    <t xml:space="preserve">   Total Transient Rooms Revenue</t>
  </si>
  <si>
    <t xml:space="preserve">   Group Rooms Revenue</t>
  </si>
  <si>
    <t xml:space="preserve">      Corporate</t>
  </si>
  <si>
    <t xml:space="preserve">      Association/Convention</t>
  </si>
  <si>
    <t xml:space="preserve">      Government</t>
  </si>
  <si>
    <t xml:space="preserve">      Tour/Wholesalers</t>
  </si>
  <si>
    <t xml:space="preserve">      SMERF</t>
  </si>
  <si>
    <t xml:space="preserve">   Total Group Rooms Revenue</t>
  </si>
  <si>
    <t xml:space="preserve">   Contract Rooms Revenue</t>
  </si>
  <si>
    <t xml:space="preserve">   Other Rooms Revenue</t>
  </si>
  <si>
    <t xml:space="preserve">   Less: Allowances</t>
  </si>
  <si>
    <t>Total Rooms Revenue</t>
  </si>
  <si>
    <t>Expenses</t>
  </si>
  <si>
    <t>Labor Costs and Related Expenses</t>
  </si>
  <si>
    <t xml:space="preserve">   Salaries, Wages, Service Charges, Contracted Labor and Bonuses</t>
  </si>
  <si>
    <t xml:space="preserve">      Salaries and Wages</t>
  </si>
  <si>
    <t xml:space="preserve">         Management</t>
  </si>
  <si>
    <t xml:space="preserve">         Non-Management</t>
  </si>
  <si>
    <t xml:space="preserve">            Front Office</t>
  </si>
  <si>
    <t xml:space="preserve">            Guest Services</t>
  </si>
  <si>
    <t xml:space="preserve">            Housekeeping</t>
  </si>
  <si>
    <t xml:space="preserve">            Laundry</t>
  </si>
  <si>
    <t xml:space="preserve">            Reservations</t>
  </si>
  <si>
    <t xml:space="preserve">            Transportation</t>
  </si>
  <si>
    <t xml:space="preserve">      Sub-Total: Salaries and Wages</t>
  </si>
  <si>
    <t xml:space="preserve">      Service Charge Distribution</t>
  </si>
  <si>
    <t xml:space="preserve">      Contracted, Leased and Outsourced Labor</t>
  </si>
  <si>
    <t xml:space="preserve">      Bonuses and Incentives</t>
  </si>
  <si>
    <t xml:space="preserve">   Total Salaries, Wages, Service Charges, Contracted Labor and Bonuses</t>
  </si>
  <si>
    <t xml:space="preserve">   Payroll-Related Expenses</t>
  </si>
  <si>
    <t xml:space="preserve">      Payroll Taxes</t>
  </si>
  <si>
    <t xml:space="preserve">      Supplemental Pay</t>
  </si>
  <si>
    <t xml:space="preserve">      Employee Benefits</t>
  </si>
  <si>
    <t xml:space="preserve">   Total Payroll-Related Expenses</t>
  </si>
  <si>
    <t>Total Labor Costs and Related Expenses</t>
  </si>
  <si>
    <t>Other Expenses</t>
  </si>
  <si>
    <t xml:space="preserve">   Cleaning Supplies</t>
  </si>
  <si>
    <t xml:space="preserve">   Cluster Services</t>
  </si>
  <si>
    <t xml:space="preserve">   Commissions</t>
  </si>
  <si>
    <t xml:space="preserve">   Commissions and Fees - Group</t>
  </si>
  <si>
    <t xml:space="preserve">   Complimentary Food and Beverage</t>
  </si>
  <si>
    <t xml:space="preserve">   Complimentary In-Room/Media Entertainment</t>
  </si>
  <si>
    <t xml:space="preserve">   Complimentary Services and Gifts</t>
  </si>
  <si>
    <t xml:space="preserve">   Contract Services</t>
  </si>
  <si>
    <t xml:space="preserve">   Corporate Office Reimbursables</t>
  </si>
  <si>
    <t xml:space="preserve">   Decorations</t>
  </si>
  <si>
    <t xml:space="preserve">   Dues and Subscriptions</t>
  </si>
  <si>
    <t xml:space="preserve">   Entertainment - In-House</t>
  </si>
  <si>
    <t xml:space="preserve">   Equipment Rental</t>
  </si>
  <si>
    <t xml:space="preserve">   Guest Relocation</t>
  </si>
  <si>
    <t xml:space="preserve">   Guest Supplies</t>
  </si>
  <si>
    <t xml:space="preserve">   Guest Transportation</t>
  </si>
  <si>
    <t xml:space="preserve">   Laundry and Dry Cleaning</t>
  </si>
  <si>
    <t xml:space="preserve">   Licenses and Permits</t>
  </si>
  <si>
    <t xml:space="preserve">   Linen</t>
  </si>
  <si>
    <t xml:space="preserve">   Miscellaneous</t>
  </si>
  <si>
    <t xml:space="preserve">   Operating Supplies</t>
  </si>
  <si>
    <t xml:space="preserve">   Postage and Overnight Delivery Charges</t>
  </si>
  <si>
    <t xml:space="preserve">   Printing and Stationery</t>
  </si>
  <si>
    <t xml:space="preserve">   Reservations</t>
  </si>
  <si>
    <t xml:space="preserve">   Royalty Fees</t>
  </si>
  <si>
    <t xml:space="preserve">   Training</t>
  </si>
  <si>
    <t xml:space="preserve">   Travel - Meals and Entertainment</t>
  </si>
  <si>
    <t xml:space="preserve">   Travel - Other</t>
  </si>
  <si>
    <t xml:space="preserve">   Uniform Costs</t>
  </si>
  <si>
    <t xml:space="preserve">   Uniform Laundry</t>
  </si>
  <si>
    <t>Total Other Expenses</t>
  </si>
  <si>
    <t>Total Expenses</t>
  </si>
  <si>
    <t>Departmental Profit</t>
  </si>
  <si>
    <t>FOOD AND BEVERAGE — SCHEDULE 2</t>
  </si>
  <si>
    <t>Departmental percentages are calculated on Total Revenue. Departmental Expense (for the Summary) = Cost of Sales + Total Expenses.</t>
  </si>
  <si>
    <t xml:space="preserve">   Food Revenue</t>
  </si>
  <si>
    <t xml:space="preserve">      Venue Food Revenue</t>
  </si>
  <si>
    <t xml:space="preserve">      In-Room Dining Food Revenue</t>
  </si>
  <si>
    <t xml:space="preserve">      Banquet/Conference/Catering Food Revenue</t>
  </si>
  <si>
    <t xml:space="preserve">      Mini Bar Food Revenue</t>
  </si>
  <si>
    <t xml:space="preserve">      Other Food Revenue</t>
  </si>
  <si>
    <t xml:space="preserve">   Total Food Revenue</t>
  </si>
  <si>
    <t xml:space="preserve">   Beverage Revenue</t>
  </si>
  <si>
    <t xml:space="preserve">      Venue Beverage Revenue</t>
  </si>
  <si>
    <t xml:space="preserve">      In-Room Dining Beverage Revenue</t>
  </si>
  <si>
    <t xml:space="preserve">      Banquet/Conference/Catering Beverage Revenue</t>
  </si>
  <si>
    <t xml:space="preserve">      Mini Bar Beverage Revenue</t>
  </si>
  <si>
    <t xml:space="preserve">      Other Beverage Revenue</t>
  </si>
  <si>
    <t xml:space="preserve">   Total Beverage Revenue</t>
  </si>
  <si>
    <t>Total Food and Beverage Revenue</t>
  </si>
  <si>
    <t xml:space="preserve">   Other Revenue</t>
  </si>
  <si>
    <t xml:space="preserve">      Audiovisual</t>
  </si>
  <si>
    <t xml:space="preserve">      Function Room Rental and Setup Charges</t>
  </si>
  <si>
    <t xml:space="preserve">      Cover Charges</t>
  </si>
  <si>
    <t xml:space="preserve">      Surcharges and Service Charges</t>
  </si>
  <si>
    <t xml:space="preserve">      Miscellaneous Other Revenue</t>
  </si>
  <si>
    <t xml:space="preserve">      Less: Allowances</t>
  </si>
  <si>
    <t xml:space="preserve">   Total Other Revenue</t>
  </si>
  <si>
    <t>Total Revenue</t>
  </si>
  <si>
    <t>Cost of Sales and Other Revenue</t>
  </si>
  <si>
    <t xml:space="preserve">   Cost of Food and Beverage Sales</t>
  </si>
  <si>
    <t xml:space="preserve">      Cost of Food Sales</t>
  </si>
  <si>
    <t xml:space="preserve">      Cost of Beverage Sales</t>
  </si>
  <si>
    <t xml:space="preserve">   Total Cost of Food and Beverage Sales</t>
  </si>
  <si>
    <t xml:space="preserve">   Cost of Other Revenue</t>
  </si>
  <si>
    <t xml:space="preserve">      Audiovisual Cost</t>
  </si>
  <si>
    <t xml:space="preserve">      Miscellaneous Cost</t>
  </si>
  <si>
    <t xml:space="preserve">   Total Cost of Other Revenue</t>
  </si>
  <si>
    <t>Total Cost of Sales and Other Revenue</t>
  </si>
  <si>
    <t>Gross Profit</t>
  </si>
  <si>
    <t xml:space="preserve">            Service</t>
  </si>
  <si>
    <t xml:space="preserve">            Kitchen</t>
  </si>
  <si>
    <t xml:space="preserve">            Banquet/Conference/Catering Service</t>
  </si>
  <si>
    <t xml:space="preserve">            Venues</t>
  </si>
  <si>
    <t xml:space="preserve">   Banquet Expenses</t>
  </si>
  <si>
    <t xml:space="preserve">   China</t>
  </si>
  <si>
    <t xml:space="preserve">   Dishwashing Supplies</t>
  </si>
  <si>
    <t xml:space="preserve">   Flatware</t>
  </si>
  <si>
    <t xml:space="preserve">   Glassware</t>
  </si>
  <si>
    <t xml:space="preserve">   Ice</t>
  </si>
  <si>
    <t xml:space="preserve">   Kitchen Fuel</t>
  </si>
  <si>
    <t xml:space="preserve">   Kitchen Smallwares</t>
  </si>
  <si>
    <t xml:space="preserve">   Menus and Beverage Lists</t>
  </si>
  <si>
    <t xml:space="preserve">   Music and Entertainment</t>
  </si>
  <si>
    <t xml:space="preserve">   Paper and Plastics</t>
  </si>
  <si>
    <t xml:space="preserve">   Utensils</t>
  </si>
  <si>
    <t>OTHER OPERATED DEPARTMENTS — SCHEDULE 3</t>
  </si>
  <si>
    <t>Roll-up of all Other Operated Departments and the consolidated Minor Operated Departments. Use the sub-schedules to build each department, then enter the totals here.</t>
  </si>
  <si>
    <t>Departmental Revenue</t>
  </si>
  <si>
    <t xml:space="preserve">   Other Operated Department 1</t>
  </si>
  <si>
    <t xml:space="preserve">   Other Operated Department 2</t>
  </si>
  <si>
    <t xml:space="preserve">   Other Operated Department 3</t>
  </si>
  <si>
    <t xml:space="preserve">   Other Operated Department 4</t>
  </si>
  <si>
    <t xml:space="preserve">   Minor Operated Departments</t>
  </si>
  <si>
    <t>Total Departmental Revenue</t>
  </si>
  <si>
    <t>Departmental Expenses (Cost of Sales + Total Expenses)</t>
  </si>
  <si>
    <t>Total Departmental Expenses</t>
  </si>
  <si>
    <t>Total Other Operated Department Profit</t>
  </si>
  <si>
    <t>GOLF COURSE AND PRO SHOP — SUB-SCHEDULE 3-1</t>
  </si>
  <si>
    <t xml:space="preserve">   Greens Fee Revenue</t>
  </si>
  <si>
    <t xml:space="preserve">   Tournament Fee Revenue</t>
  </si>
  <si>
    <t xml:space="preserve">   Golf Cart Rental Revenue</t>
  </si>
  <si>
    <t xml:space="preserve">   Golf Equipment Rental Revenue</t>
  </si>
  <si>
    <t xml:space="preserve">   Practice Range Fee Revenue</t>
  </si>
  <si>
    <t xml:space="preserve">   Lesson Fee Revenue</t>
  </si>
  <si>
    <t xml:space="preserve">   Golf Club Maintenance Revenue</t>
  </si>
  <si>
    <t xml:space="preserve">   Storage Fee Revenue</t>
  </si>
  <si>
    <t xml:space="preserve">   Membership Fee Revenue</t>
  </si>
  <si>
    <t xml:space="preserve">   Merchandise Revenue</t>
  </si>
  <si>
    <t xml:space="preserve">   Clothing Revenue</t>
  </si>
  <si>
    <t>Total Golf Revenue</t>
  </si>
  <si>
    <t>Cost of Sales</t>
  </si>
  <si>
    <t xml:space="preserve">   Cost of Merchandise Sales</t>
  </si>
  <si>
    <t xml:space="preserve">   Cost of Clothing Sales</t>
  </si>
  <si>
    <t>Total Cost of Sales</t>
  </si>
  <si>
    <t xml:space="preserve">            Golf Pros/Operations</t>
  </si>
  <si>
    <t xml:space="preserve">            Greens/Maintenance</t>
  </si>
  <si>
    <t xml:space="preserve">            Pro Shop</t>
  </si>
  <si>
    <t xml:space="preserve">   Gasoline and Lubricants</t>
  </si>
  <si>
    <t xml:space="preserve">   Grounds Maintenance and Landscaping</t>
  </si>
  <si>
    <t xml:space="preserve">   Irrigation</t>
  </si>
  <si>
    <t xml:space="preserve">   Tournament Expenses</t>
  </si>
  <si>
    <t xml:space="preserve">   Transportation</t>
  </si>
  <si>
    <t xml:space="preserve">   Vehicle Repairs and Maintenance</t>
  </si>
  <si>
    <t xml:space="preserve">   Water</t>
  </si>
  <si>
    <t>HEALTH CLUB/SPA — SUB-SCHEDULE 3-2</t>
  </si>
  <si>
    <t xml:space="preserve">   Massage and Body Treatment Revenue</t>
  </si>
  <si>
    <t xml:space="preserve">   Skin Care Revenue</t>
  </si>
  <si>
    <t xml:space="preserve">   Hair Care Revenue</t>
  </si>
  <si>
    <t xml:space="preserve">   Nail Care Revenue</t>
  </si>
  <si>
    <t xml:space="preserve">   Fitness Revenue</t>
  </si>
  <si>
    <t xml:space="preserve">   Health and Wellness Revenue</t>
  </si>
  <si>
    <t xml:space="preserve">   Retail Revenue</t>
  </si>
  <si>
    <t>Total Health Club Spa Revenue</t>
  </si>
  <si>
    <t xml:space="preserve">            Attendant/Housekeeping</t>
  </si>
  <si>
    <t xml:space="preserve">            Fitness</t>
  </si>
  <si>
    <t xml:space="preserve">            Reception/Retail</t>
  </si>
  <si>
    <t xml:space="preserve">            Therapists/Technicians</t>
  </si>
  <si>
    <t xml:space="preserve">   Ambience</t>
  </si>
  <si>
    <t xml:space="preserve">   Athletic Supplies</t>
  </si>
  <si>
    <t xml:space="preserve">   Health and Beauty Products</t>
  </si>
  <si>
    <t xml:space="preserve">   Swimming Pool</t>
  </si>
  <si>
    <t>PARKING — SUB-SCHEDULE 3-3</t>
  </si>
  <si>
    <t xml:space="preserve">   Self-Parking Revenue</t>
  </si>
  <si>
    <t xml:space="preserve">   Valet Parking Revenue</t>
  </si>
  <si>
    <t>Total Parking Revenue</t>
  </si>
  <si>
    <t>OTHER OPERATED DEPARTMENTS — SUB-SCHEDULE 3-x (Generic)</t>
  </si>
  <si>
    <t>Generic template for any Other Operated Department (Marina, Guest Laundry, Business Center, Retail Store, etc.). Rename revenue/expense lines as warranted; sub-totals roll into Schedule 3.</t>
  </si>
  <si>
    <t xml:space="preserve">   Revenue</t>
  </si>
  <si>
    <t>Total Generic Revenue</t>
  </si>
  <si>
    <t>MINOR OPERATED DEPARTMENTS — SUB-SCHEDULE 3-xx</t>
  </si>
  <si>
    <t>Examples: Vending, Retail Kiosk, Video Games, In-Room Movies, Guest Laundry, Guest Communications, Services and CAM, Occasional F&amp;B.</t>
  </si>
  <si>
    <t xml:space="preserve">   Minor Operated Department 1</t>
  </si>
  <si>
    <t xml:space="preserve">   Minor Operated Department 2</t>
  </si>
  <si>
    <t xml:space="preserve">   Minor Operated Department 3</t>
  </si>
  <si>
    <t xml:space="preserve">   Minor Operated Department 4</t>
  </si>
  <si>
    <t>Total Minor Operated Departmental Expenses</t>
  </si>
  <si>
    <t>Total Minor Operated Department Profit</t>
  </si>
  <si>
    <t>MISCELLANEOUS INCOME — SCHEDULE 4</t>
  </si>
  <si>
    <t xml:space="preserve">   Attrition Fees</t>
  </si>
  <si>
    <t xml:space="preserve">   Cancellation Fees</t>
  </si>
  <si>
    <t xml:space="preserve">   Cash Discounts Earned</t>
  </si>
  <si>
    <t xml:space="preserve">   Guest-Related Foreign Currency Transaction Gains (Losses)</t>
  </si>
  <si>
    <t xml:space="preserve">   Guest Laundry and Dry Cleaning</t>
  </si>
  <si>
    <t xml:space="preserve">   Interest Income</t>
  </si>
  <si>
    <t xml:space="preserve">   Net Revenue from Renting Mixed-Ownership Units</t>
  </si>
  <si>
    <t xml:space="preserve">   Other Breakage</t>
  </si>
  <si>
    <t xml:space="preserve">   Package Breakage</t>
  </si>
  <si>
    <t xml:space="preserve">   Proceeds from Business Interruption Insurance</t>
  </si>
  <si>
    <t xml:space="preserve">   Resort Fees</t>
  </si>
  <si>
    <t xml:space="preserve">   Space Rental and Concessions</t>
  </si>
  <si>
    <t>Total Miscellaneous Income</t>
  </si>
  <si>
    <t>ADMINISTRATIVE AND GENERAL — SCHEDULE 5</t>
  </si>
  <si>
    <t xml:space="preserve">            Accounting</t>
  </si>
  <si>
    <t xml:space="preserve">            General Support</t>
  </si>
  <si>
    <t xml:space="preserve">            Human Resources</t>
  </si>
  <si>
    <t xml:space="preserve">            Purchasing/Receiving</t>
  </si>
  <si>
    <t xml:space="preserve">            Security</t>
  </si>
  <si>
    <t xml:space="preserve">   Audit Charges</t>
  </si>
  <si>
    <t xml:space="preserve">   Bank Charges</t>
  </si>
  <si>
    <t xml:space="preserve">   Cash Overages and Shortages</t>
  </si>
  <si>
    <t xml:space="preserve">   Centralized Accounting Charges</t>
  </si>
  <si>
    <t xml:space="preserve">   Credit and Collection</t>
  </si>
  <si>
    <t xml:space="preserve">   Credit Card Commissions</t>
  </si>
  <si>
    <t xml:space="preserve">   Donations</t>
  </si>
  <si>
    <t xml:space="preserve">   Human Resources</t>
  </si>
  <si>
    <t xml:space="preserve">   Legal Services</t>
  </si>
  <si>
    <t xml:space="preserve">   Loss and Damage</t>
  </si>
  <si>
    <t xml:space="preserve">   Non-Guest-Related Foreign Currency Exchange Gains (Losses)</t>
  </si>
  <si>
    <t xml:space="preserve">   Payroll Processing</t>
  </si>
  <si>
    <t xml:space="preserve">   Professional Fees</t>
  </si>
  <si>
    <t xml:space="preserve">   Provision for Doubtful Accounts</t>
  </si>
  <si>
    <t xml:space="preserve">   Security</t>
  </si>
  <si>
    <t xml:space="preserve">   Settlement Costs</t>
  </si>
  <si>
    <t xml:space="preserve">   Staff Transportation</t>
  </si>
  <si>
    <t>INFORMATION AND TELECOMMUNICATIONS SYSTEMS — SCHEDULE 6</t>
  </si>
  <si>
    <t xml:space="preserve">            Information Technology</t>
  </si>
  <si>
    <t xml:space="preserve">            Telecommunications</t>
  </si>
  <si>
    <t>Cost of Services</t>
  </si>
  <si>
    <t xml:space="preserve">   Cost of Cell Phones</t>
  </si>
  <si>
    <t xml:space="preserve">   Cost of Internet Services</t>
  </si>
  <si>
    <t xml:space="preserve">   Cost of Local Calls</t>
  </si>
  <si>
    <t xml:space="preserve">   Cost of Long Distance Calls</t>
  </si>
  <si>
    <t xml:space="preserve">   Other Cost of Services</t>
  </si>
  <si>
    <t>Total Cost of Services</t>
  </si>
  <si>
    <t>System Expenses</t>
  </si>
  <si>
    <t xml:space="preserve">   Centralized Information System Charges</t>
  </si>
  <si>
    <t xml:space="preserve">   Energy Management</t>
  </si>
  <si>
    <t xml:space="preserve">   Golf</t>
  </si>
  <si>
    <t xml:space="preserve">   Hardware</t>
  </si>
  <si>
    <t xml:space="preserve">   Health Club/Spa</t>
  </si>
  <si>
    <t xml:space="preserve">   Information Security</t>
  </si>
  <si>
    <t xml:space="preserve">   Information Systems</t>
  </si>
  <si>
    <t xml:space="preserve">   Parking</t>
  </si>
  <si>
    <t xml:space="preserve">   Telecommunications</t>
  </si>
  <si>
    <t>Total System Expenses</t>
  </si>
  <si>
    <t xml:space="preserve">   Other Equipment</t>
  </si>
  <si>
    <t xml:space="preserve">   System Storage and Optimization</t>
  </si>
  <si>
    <t>SALES AND MARKETING — SCHEDULE 7</t>
  </si>
  <si>
    <t xml:space="preserve">   Agency Fees</t>
  </si>
  <si>
    <t xml:space="preserve">   Collateral Material</t>
  </si>
  <si>
    <t xml:space="preserve">   Direct Mail</t>
  </si>
  <si>
    <t xml:space="preserve">   Familiarization Trips</t>
  </si>
  <si>
    <t xml:space="preserve">   Franchise and Affiliation Marketing</t>
  </si>
  <si>
    <t xml:space="preserve">   Franchise and Affiliation Fees - Royalties</t>
  </si>
  <si>
    <t xml:space="preserve">   In-House Graphics</t>
  </si>
  <si>
    <t xml:space="preserve">   Loyalty Programs</t>
  </si>
  <si>
    <t xml:space="preserve">   Media</t>
  </si>
  <si>
    <t xml:space="preserve">   Outside Sales Representation</t>
  </si>
  <si>
    <t xml:space="preserve">   Outside Services Market Research</t>
  </si>
  <si>
    <t xml:space="preserve">   Outside Signage</t>
  </si>
  <si>
    <t xml:space="preserve">   Photography</t>
  </si>
  <si>
    <t xml:space="preserve">   Promotion</t>
  </si>
  <si>
    <t xml:space="preserve">   Trade Shows</t>
  </si>
  <si>
    <t xml:space="preserve">   Website</t>
  </si>
  <si>
    <t>PROPERTY OPERATION AND MAINTENANCE — SCHEDULE 8</t>
  </si>
  <si>
    <t xml:space="preserve">   Building</t>
  </si>
  <si>
    <t xml:space="preserve">   Electrical and Mechanical Equipment</t>
  </si>
  <si>
    <t xml:space="preserve">   Elevators and Escalators</t>
  </si>
  <si>
    <t xml:space="preserve">   Engineering Supplies</t>
  </si>
  <si>
    <t xml:space="preserve">   Floor Covering</t>
  </si>
  <si>
    <t xml:space="preserve">   Furniture and Equipment</t>
  </si>
  <si>
    <t xml:space="preserve">   Heating, Ventilation, and Air Conditioning Equipment</t>
  </si>
  <si>
    <t xml:space="preserve">   Kitchen Equipment</t>
  </si>
  <si>
    <t xml:space="preserve">   Laundry Equipment</t>
  </si>
  <si>
    <t xml:space="preserve">   Life/Safety</t>
  </si>
  <si>
    <t xml:space="preserve">   Light Bulbs</t>
  </si>
  <si>
    <t xml:space="preserve">   Painting and Wallcovering</t>
  </si>
  <si>
    <t xml:space="preserve">   Plumbing</t>
  </si>
  <si>
    <t xml:space="preserve">   Vehicle Repair</t>
  </si>
  <si>
    <t xml:space="preserve">   Waste Removal</t>
  </si>
  <si>
    <t>UTILITIES — SCHEDULE 9</t>
  </si>
  <si>
    <t xml:space="preserve">   Electricity</t>
  </si>
  <si>
    <t xml:space="preserve">   Gas</t>
  </si>
  <si>
    <t xml:space="preserve">   Oil</t>
  </si>
  <si>
    <t xml:space="preserve">   Water/Sewer</t>
  </si>
  <si>
    <t xml:space="preserve">   Steam</t>
  </si>
  <si>
    <t xml:space="preserve">   Chilled Water</t>
  </si>
  <si>
    <t xml:space="preserve">   Other Fuels</t>
  </si>
  <si>
    <t>MANAGEMENT FEES — SCHEDULE 10</t>
  </si>
  <si>
    <t xml:space="preserve">   Base Fee</t>
  </si>
  <si>
    <t xml:space="preserve">   Incentive Fees</t>
  </si>
  <si>
    <t>Total Management Fees</t>
  </si>
  <si>
    <t>NON-OPERATING INCOME AND EXPENSES — SCHEDULE 11</t>
  </si>
  <si>
    <t>Income</t>
  </si>
  <si>
    <t xml:space="preserve">   Cost Recovery Income</t>
  </si>
  <si>
    <t xml:space="preserve">   Other Income</t>
  </si>
  <si>
    <t>Total Income</t>
  </si>
  <si>
    <t>Rent</t>
  </si>
  <si>
    <t xml:space="preserve">   Land and Buildings</t>
  </si>
  <si>
    <t xml:space="preserve">   Other Property and Equipment</t>
  </si>
  <si>
    <t>Total Rent</t>
  </si>
  <si>
    <t>Property and Other Taxes</t>
  </si>
  <si>
    <t xml:space="preserve">   Business and Occupation Taxes</t>
  </si>
  <si>
    <t xml:space="preserve">   Other Taxes and Assessments</t>
  </si>
  <si>
    <t xml:space="preserve">   Personal Property Taxes</t>
  </si>
  <si>
    <t xml:space="preserve">   Real Estate Taxes</t>
  </si>
  <si>
    <t>Total Property and Other Taxes</t>
  </si>
  <si>
    <t>Insurance</t>
  </si>
  <si>
    <t xml:space="preserve">   Building and Contents</t>
  </si>
  <si>
    <t xml:space="preserve">   Liability</t>
  </si>
  <si>
    <t xml:space="preserve">   Deductible</t>
  </si>
  <si>
    <t>Total Insurance</t>
  </si>
  <si>
    <t>Other</t>
  </si>
  <si>
    <t xml:space="preserve">   Cost Recovery Expense</t>
  </si>
  <si>
    <t xml:space="preserve">   Gain/Loss on Fixed Assets</t>
  </si>
  <si>
    <t xml:space="preserve">   Owner Expenses</t>
  </si>
  <si>
    <t xml:space="preserve">   Unrealized Foreign Exchange Gains or Losses</t>
  </si>
  <si>
    <t>Total Other</t>
  </si>
  <si>
    <t>Total Non-Operating Income and Expenses</t>
  </si>
  <si>
    <t>HOUSE LAUNDRY — SCHEDULE 12</t>
  </si>
  <si>
    <t>Allocated to operating departments on an equitable basis; not shown separately on the Summary Operating Statement.</t>
  </si>
  <si>
    <t xml:space="preserve">   Laundry Supplies</t>
  </si>
  <si>
    <t>Credits</t>
  </si>
  <si>
    <t xml:space="preserve">   Cost of Guest and Outside Laundry</t>
  </si>
  <si>
    <t xml:space="preserve">   Concessionaires' Laundry</t>
  </si>
  <si>
    <t>Cost of House Laundry</t>
  </si>
  <si>
    <t>Allocations</t>
  </si>
  <si>
    <t xml:space="preserve">   Allocation to Rooms</t>
  </si>
  <si>
    <t xml:space="preserve">   Allocation to Food and Beverage</t>
  </si>
  <si>
    <t xml:space="preserve">   Allocation to Department 1</t>
  </si>
  <si>
    <t xml:space="preserve">   Allocation to Department 2</t>
  </si>
  <si>
    <t xml:space="preserve">   Allocation to Department x</t>
  </si>
  <si>
    <t>Total Allocations</t>
  </si>
  <si>
    <t>Net Recovery</t>
  </si>
  <si>
    <t>STAFF DINING — SCHEDULE 13</t>
  </si>
  <si>
    <t xml:space="preserve">   Cost of Food</t>
  </si>
  <si>
    <t>Net Revenue</t>
  </si>
  <si>
    <t>Cost of Staff Dining</t>
  </si>
  <si>
    <t>PAYROLL-RELATED EXPENSES — SCHEDULE 14</t>
  </si>
  <si>
    <t>Summarises total payroll taxes and employee benefits for the property. Items must not be combined or moved between categories.</t>
  </si>
  <si>
    <t>Payroll Taxes</t>
  </si>
  <si>
    <t xml:space="preserve">   National Disability Insurance</t>
  </si>
  <si>
    <t xml:space="preserve">   National Medical Insurance</t>
  </si>
  <si>
    <t xml:space="preserve">   National Retirement Contribution</t>
  </si>
  <si>
    <t xml:space="preserve">   National Unemployment Insurance</t>
  </si>
  <si>
    <t xml:space="preserve">   State Disability Insurance</t>
  </si>
  <si>
    <t xml:space="preserve">   State Medical Insurance</t>
  </si>
  <si>
    <t xml:space="preserve">   State Retirement Contribution</t>
  </si>
  <si>
    <t xml:space="preserve">   State Unemployment Insurance</t>
  </si>
  <si>
    <t>Total Payroll Taxes</t>
  </si>
  <si>
    <t>Supplemental Pay</t>
  </si>
  <si>
    <t xml:space="preserve">   Other Pay</t>
  </si>
  <si>
    <t xml:space="preserve">   Personal Days</t>
  </si>
  <si>
    <t xml:space="preserve">   Severance Pay</t>
  </si>
  <si>
    <t xml:space="preserve">   Sick Pay</t>
  </si>
  <si>
    <t xml:space="preserve">   Holiday Pay</t>
  </si>
  <si>
    <t xml:space="preserve">   Vacation/Paid Time Off</t>
  </si>
  <si>
    <t>Total Supplemental Pay</t>
  </si>
  <si>
    <t>Employee Benefits</t>
  </si>
  <si>
    <t xml:space="preserve">   Automobile Allowance</t>
  </si>
  <si>
    <t xml:space="preserve">   Child Care</t>
  </si>
  <si>
    <t xml:space="preserve">   Contributory Savings Plan</t>
  </si>
  <si>
    <t xml:space="preserve">   Dental Insurance</t>
  </si>
  <si>
    <t xml:space="preserve">   Disability Insurance</t>
  </si>
  <si>
    <t xml:space="preserve">   Expat Benefits</t>
  </si>
  <si>
    <t xml:space="preserve">   Group Life Insurance</t>
  </si>
  <si>
    <t xml:space="preserve">   Health Insurance</t>
  </si>
  <si>
    <t xml:space="preserve">   Housing and Educational</t>
  </si>
  <si>
    <t xml:space="preserve">   Meals</t>
  </si>
  <si>
    <t xml:space="preserve">   Nonunion Insurance</t>
  </si>
  <si>
    <t xml:space="preserve">   Nonunion Pension</t>
  </si>
  <si>
    <t xml:space="preserve">   Profit Sharing</t>
  </si>
  <si>
    <t xml:space="preserve">   Public Subsidized Transportation</t>
  </si>
  <si>
    <t xml:space="preserve">   Stock Benefits</t>
  </si>
  <si>
    <t xml:space="preserve">   Stock Options</t>
  </si>
  <si>
    <t xml:space="preserve">   Union Insurance</t>
  </si>
  <si>
    <t xml:space="preserve">   Union Other</t>
  </si>
  <si>
    <t xml:space="preserve">   Union Pension</t>
  </si>
  <si>
    <t xml:space="preserve">   Workers' Compensation Insurance</t>
  </si>
  <si>
    <t>Total Employee Benefits</t>
  </si>
  <si>
    <t>Total Payroll-Related Expenses</t>
  </si>
  <si>
    <t>OPERATING METRICS &amp; RATIOS</t>
  </si>
  <si>
    <t>Key performance indicators auto-calculated from the Summary Operating Statement and departmental schedules.</t>
  </si>
  <si>
    <t>Rooms Department Metrics</t>
  </si>
  <si>
    <t xml:space="preserve">   ADR — Average Daily Rate</t>
  </si>
  <si>
    <t xml:space="preserve">   RevPAR — Rooms Revenue per Available Room</t>
  </si>
  <si>
    <t xml:space="preserve">   Total RevPAR — Total Revenue per Available Room</t>
  </si>
  <si>
    <t>Departmental Profitability</t>
  </si>
  <si>
    <t xml:space="preserve">   Rooms Departmental Profit</t>
  </si>
  <si>
    <t xml:space="preserve">   Rooms Departmental Profit %</t>
  </si>
  <si>
    <t xml:space="preserve">   Food &amp; Beverage Departmental Profit</t>
  </si>
  <si>
    <t xml:space="preserve">   Food &amp; Beverage Departmental Profit %</t>
  </si>
  <si>
    <t xml:space="preserve">   Cost of Food &amp; Beverage Sales %</t>
  </si>
  <si>
    <t>Whole-of-Property Metrics</t>
  </si>
  <si>
    <t xml:space="preserve">   Total Departmental Profit %</t>
  </si>
  <si>
    <t xml:space="preserve">   Total Undistributed Expenses %</t>
  </si>
  <si>
    <t xml:space="preserve">   Gross Operating Profit (GOP)</t>
  </si>
  <si>
    <t xml:space="preserve">   GOP Margin %</t>
  </si>
  <si>
    <t xml:space="preserve">   GOPPAR — GOP per Available Room</t>
  </si>
  <si>
    <t xml:space="preserve">   EBITDA</t>
  </si>
  <si>
    <t xml:space="preserve">   EBITDA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</si>
</sst>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#,##0.00;\(#,##0.00\);\-"/>
  </numFmts>
  <fonts count="24" x14ac:knownFonts="1">
    <font>
      <sz val="11"/>
      <color theme="1"/>
      <name val="Calibri"/>
      <family val="2"/>
      <charset val="1"/>
    </font>
    <font>
      <b/>
      <sz val="20"/>
      <color rgb="FF1F3864"/>
      <name val="Arial"/>
      <family val="2"/>
    </font>
    <font>
      <i/>
      <sz val="11"/>
      <color rgb="FF40404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name val="Arial"/>
      <family val="2"/>
    </font>
    <font>
      <i/>
      <sz val="8"/>
      <color rgb="FF808080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  <font>
      <b/>
      <sz val="14"/>
      <color rgb="FF1F3864"/>
      <name val="Arial"/>
      <family val="2"/>
    </font>
    <font>
      <b/>
      <sz val="9"/>
      <color rgb="FF000000"/>
      <name val="Arial"/>
      <family val="2"/>
    </font>
    <font>
      <i/>
      <sz val="9"/>
      <color rgb="FF008000"/>
      <name val="Arial"/>
      <family val="2"/>
    </font>
    <font>
      <i/>
      <sz val="9"/>
      <color rgb="FF808080"/>
      <name val="Arial"/>
      <family val="2"/>
    </font>
    <font>
      <b/>
      <sz val="9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8" fillId="2" borderId="1" xfId="0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1" fillId="2" borderId="0" xfId="0" applyFont="1" applyFill="1"/>
    <xf numFmtId="0" fontId="10" fillId="0" borderId="0" xfId="0" applyFont="1"/>
    <xf numFmtId="0" fontId="9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3" borderId="1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0" fillId="4" borderId="0" xfId="0" applyFill="1"/>
    <xf numFmtId="0" fontId="20" fillId="0" borderId="0" xfId="0" applyFont="1" applyAlignment="1">
      <alignment horizontal="left" vertical="center"/>
    </xf>
    <xf numFmtId="164" fontId="12" fillId="5" borderId="0" xfId="0" applyNumberFormat="1" applyFont="1" applyFill="1" applyAlignment="1">
      <alignment horizontal="right"/>
    </xf>
    <xf numFmtId="165" fontId="20" fillId="0" borderId="0" xfId="0" applyNumberFormat="1" applyFont="1" applyAlignment="1">
      <alignment horizontal="right"/>
    </xf>
    <xf numFmtId="166" fontId="20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164" fontId="21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0" fontId="6" fillId="6" borderId="0" xfId="0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right"/>
    </xf>
    <xf numFmtId="165" fontId="15" fillId="6" borderId="0" xfId="0" applyNumberFormat="1" applyFont="1" applyFill="1" applyAlignment="1">
      <alignment horizontal="right"/>
    </xf>
    <xf numFmtId="0" fontId="15" fillId="7" borderId="0" xfId="0" applyFont="1" applyFill="1" applyAlignment="1">
      <alignment horizontal="left" vertical="center"/>
    </xf>
    <xf numFmtId="164" fontId="6" fillId="7" borderId="0" xfId="0" applyNumberFormat="1" applyFont="1" applyFill="1" applyAlignment="1">
      <alignment horizontal="right"/>
    </xf>
    <xf numFmtId="165" fontId="15" fillId="7" borderId="0" xfId="0" applyNumberFormat="1" applyFont="1" applyFill="1" applyAlignment="1">
      <alignment horizontal="right"/>
    </xf>
    <xf numFmtId="0" fontId="23" fillId="2" borderId="0" xfId="0" applyFont="1" applyFill="1" applyAlignment="1">
      <alignment horizontal="left" vertical="center"/>
    </xf>
    <xf numFmtId="164" fontId="23" fillId="2" borderId="0" xfId="0" applyNumberFormat="1" applyFont="1" applyFill="1" applyAlignment="1">
      <alignment horizontal="right"/>
    </xf>
    <xf numFmtId="165" fontId="18" fillId="2" borderId="0" xfId="0" applyNumberFormat="1" applyFont="1" applyFill="1" applyAlignment="1">
      <alignment horizontal="right"/>
    </xf>
    <xf numFmtId="0" fontId="0" fillId="7" borderId="0" xfId="0" applyFill="1"/>
    <xf numFmtId="164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/>
    </xf>
    <xf numFmtId="166" fontId="21" fillId="0" borderId="0" xfId="0" applyNumberFormat="1" applyFont="1" applyAlignment="1">
      <alignment horizontal="right"/>
    </xf>
    <xf numFmtId="164" fontId="21" fillId="7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2:C40"/>
  <sheetViews>
    <sheetView showGridLines="0" tabSelected="1" zoomScaleNormal="100" workbookViewId="0"/>
  </sheetViews>
  <sheetFormatPr baseColWidth="10" defaultColWidth="8.6640625" defaultRowHeight="15" x14ac:dyDescent="0.2"/>
  <cols>
    <col min="1" max="1" width="4" customWidth="1"/>
    <col min="2" max="2" width="50" customWidth="1"/>
    <col min="3" max="3" width="60" customWidth="1"/>
  </cols>
  <sheetData>
    <row r="2" spans="2:3" ht="25" x14ac:dyDescent="0.25">
      <c r="B2" s="10" t="s">
        <v>0</v>
      </c>
    </row>
    <row r="3" spans="2:3" x14ac:dyDescent="0.2">
      <c r="B3" s="11" t="s">
        <v>1</v>
      </c>
    </row>
    <row r="5" spans="2:3" ht="15" customHeight="1" x14ac:dyDescent="0.2">
      <c r="B5" s="9" t="s">
        <v>2</v>
      </c>
      <c r="C5" s="9"/>
    </row>
    <row r="6" spans="2:3" x14ac:dyDescent="0.2">
      <c r="B6" s="9"/>
      <c r="C6" s="9"/>
    </row>
    <row r="8" spans="2:3" ht="16" x14ac:dyDescent="0.2">
      <c r="B8" s="8" t="s">
        <v>3</v>
      </c>
      <c r="C8" s="8"/>
    </row>
    <row r="9" spans="2:3" x14ac:dyDescent="0.2">
      <c r="B9" s="7" t="s">
        <v>4</v>
      </c>
      <c r="C9" s="7"/>
    </row>
    <row r="10" spans="2:3" x14ac:dyDescent="0.2">
      <c r="B10" s="7" t="s">
        <v>5</v>
      </c>
      <c r="C10" s="7"/>
    </row>
    <row r="11" spans="2:3" x14ac:dyDescent="0.2">
      <c r="B11" s="7" t="s">
        <v>6</v>
      </c>
      <c r="C11" s="7"/>
    </row>
    <row r="12" spans="2:3" x14ac:dyDescent="0.2">
      <c r="B12" s="7" t="s">
        <v>7</v>
      </c>
      <c r="C12" s="7"/>
    </row>
    <row r="14" spans="2:3" ht="16" x14ac:dyDescent="0.2">
      <c r="B14" s="8" t="s">
        <v>8</v>
      </c>
      <c r="C14" s="8"/>
    </row>
    <row r="15" spans="2:3" x14ac:dyDescent="0.2">
      <c r="B15" s="13" t="s">
        <v>9</v>
      </c>
      <c r="C15" s="12" t="s">
        <v>10</v>
      </c>
    </row>
    <row r="16" spans="2:3" x14ac:dyDescent="0.2">
      <c r="B16" s="14" t="s">
        <v>11</v>
      </c>
      <c r="C16" s="12" t="s">
        <v>12</v>
      </c>
    </row>
    <row r="17" spans="2:3" x14ac:dyDescent="0.2">
      <c r="B17" s="15" t="s">
        <v>13</v>
      </c>
      <c r="C17" s="12" t="s">
        <v>14</v>
      </c>
    </row>
    <row r="19" spans="2:3" ht="16" x14ac:dyDescent="0.2">
      <c r="B19" s="8" t="s">
        <v>15</v>
      </c>
      <c r="C19" s="8"/>
    </row>
    <row r="20" spans="2:3" x14ac:dyDescent="0.2">
      <c r="B20" s="16" t="s">
        <v>16</v>
      </c>
      <c r="C20" s="12" t="s">
        <v>17</v>
      </c>
    </row>
    <row r="21" spans="2:3" x14ac:dyDescent="0.2">
      <c r="B21" s="16" t="s">
        <v>18</v>
      </c>
      <c r="C21" s="12" t="s">
        <v>19</v>
      </c>
    </row>
    <row r="22" spans="2:3" x14ac:dyDescent="0.2">
      <c r="B22" s="16" t="s">
        <v>20</v>
      </c>
      <c r="C22" s="12" t="s">
        <v>21</v>
      </c>
    </row>
    <row r="23" spans="2:3" x14ac:dyDescent="0.2">
      <c r="B23" s="16" t="s">
        <v>22</v>
      </c>
      <c r="C23" s="12" t="s">
        <v>23</v>
      </c>
    </row>
    <row r="24" spans="2:3" x14ac:dyDescent="0.2">
      <c r="B24" s="16" t="s">
        <v>24</v>
      </c>
      <c r="C24" s="12" t="s">
        <v>25</v>
      </c>
    </row>
    <row r="25" spans="2:3" x14ac:dyDescent="0.2">
      <c r="B25" s="16" t="s">
        <v>26</v>
      </c>
      <c r="C25" s="12" t="s">
        <v>27</v>
      </c>
    </row>
    <row r="26" spans="2:3" x14ac:dyDescent="0.2">
      <c r="B26" s="16" t="s">
        <v>28</v>
      </c>
      <c r="C26" s="12" t="s">
        <v>29</v>
      </c>
    </row>
    <row r="27" spans="2:3" x14ac:dyDescent="0.2">
      <c r="B27" s="16" t="s">
        <v>30</v>
      </c>
      <c r="C27" s="12" t="s">
        <v>31</v>
      </c>
    </row>
    <row r="28" spans="2:3" x14ac:dyDescent="0.2">
      <c r="B28" s="16" t="s">
        <v>32</v>
      </c>
      <c r="C28" s="12" t="s">
        <v>33</v>
      </c>
    </row>
    <row r="29" spans="2:3" x14ac:dyDescent="0.2">
      <c r="B29" s="16" t="s">
        <v>34</v>
      </c>
      <c r="C29" s="12" t="s">
        <v>35</v>
      </c>
    </row>
    <row r="30" spans="2:3" x14ac:dyDescent="0.2">
      <c r="B30" s="16" t="s">
        <v>36</v>
      </c>
      <c r="C30" s="12" t="s">
        <v>37</v>
      </c>
    </row>
    <row r="31" spans="2:3" x14ac:dyDescent="0.2">
      <c r="B31" s="16" t="s">
        <v>38</v>
      </c>
      <c r="C31" s="12" t="s">
        <v>39</v>
      </c>
    </row>
    <row r="32" spans="2:3" x14ac:dyDescent="0.2">
      <c r="B32" s="16" t="s">
        <v>40</v>
      </c>
      <c r="C32" s="12" t="s">
        <v>41</v>
      </c>
    </row>
    <row r="33" spans="2:3" x14ac:dyDescent="0.2">
      <c r="B33" s="16" t="s">
        <v>42</v>
      </c>
      <c r="C33" s="12" t="s">
        <v>43</v>
      </c>
    </row>
    <row r="34" spans="2:3" x14ac:dyDescent="0.2">
      <c r="B34" s="16" t="s">
        <v>44</v>
      </c>
      <c r="C34" s="12" t="s">
        <v>45</v>
      </c>
    </row>
    <row r="35" spans="2:3" x14ac:dyDescent="0.2">
      <c r="B35" s="16" t="s">
        <v>46</v>
      </c>
      <c r="C35" s="12" t="s">
        <v>47</v>
      </c>
    </row>
    <row r="37" spans="2:3" ht="15" customHeight="1" x14ac:dyDescent="0.2">
      <c r="B37" s="6" t="s">
        <v>48</v>
      </c>
      <c r="C37" s="6"/>
    </row>
    <row r="38" spans="2:3" x14ac:dyDescent="0.2">
      <c r="B38" s="6"/>
      <c r="C38" s="6"/>
    </row>
    <row r="39" spans="2:3" x14ac:dyDescent="0.2">
      <c r="B39" s="6"/>
      <c r="C39" s="6"/>
    </row>
    <row r="40" spans="2:3" x14ac:dyDescent="0.2">
      <c r="B40" s="6"/>
      <c r="C40" s="6"/>
    </row>
  </sheetData>
  <mergeCells count="9">
    <mergeCell ref="B12:C12"/>
    <mergeCell ref="B14:C14"/>
    <mergeCell ref="B19:C19"/>
    <mergeCell ref="B37:C40"/>
    <mergeCell ref="B5:C6"/>
    <mergeCell ref="B8:C8"/>
    <mergeCell ref="B9:C9"/>
    <mergeCell ref="B10:C10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B20"/>
  <sheetViews>
    <sheetView showGridLines="0" zoomScaleNormal="100" workbookViewId="0">
      <selection sqref="A1:B1"/>
    </sheetView>
  </sheetViews>
  <sheetFormatPr baseColWidth="10" defaultColWidth="8.6640625" defaultRowHeight="15" x14ac:dyDescent="0.2"/>
  <cols>
    <col min="1" max="1" width="34" customWidth="1"/>
    <col min="2" max="2" width="46" customWidth="1"/>
  </cols>
  <sheetData>
    <row r="1" spans="1:2" ht="20" x14ac:dyDescent="0.2">
      <c r="A1" s="5" t="s">
        <v>49</v>
      </c>
      <c r="B1" s="5"/>
    </row>
    <row r="3" spans="1:2" x14ac:dyDescent="0.2">
      <c r="A3" s="4" t="s">
        <v>50</v>
      </c>
      <c r="B3" s="4"/>
    </row>
    <row r="4" spans="1:2" x14ac:dyDescent="0.2">
      <c r="A4" s="16" t="s">
        <v>51</v>
      </c>
      <c r="B4" s="17" t="s">
        <v>52</v>
      </c>
    </row>
    <row r="5" spans="1:2" x14ac:dyDescent="0.2">
      <c r="A5" s="16" t="s">
        <v>53</v>
      </c>
      <c r="B5" s="17" t="s">
        <v>54</v>
      </c>
    </row>
    <row r="6" spans="1:2" x14ac:dyDescent="0.2">
      <c r="A6" s="16" t="s">
        <v>55</v>
      </c>
      <c r="B6" s="17" t="s">
        <v>56</v>
      </c>
    </row>
    <row r="7" spans="1:2" x14ac:dyDescent="0.2">
      <c r="A7" s="16" t="s">
        <v>57</v>
      </c>
      <c r="B7" s="17"/>
    </row>
    <row r="8" spans="1:2" x14ac:dyDescent="0.2">
      <c r="A8" s="16" t="s">
        <v>58</v>
      </c>
      <c r="B8" s="17"/>
    </row>
    <row r="10" spans="1:2" x14ac:dyDescent="0.2">
      <c r="A10" s="4" t="s">
        <v>59</v>
      </c>
      <c r="B10" s="4"/>
    </row>
    <row r="11" spans="1:2" x14ac:dyDescent="0.2">
      <c r="A11" s="3" t="s">
        <v>60</v>
      </c>
      <c r="B11" s="3"/>
    </row>
    <row r="12" spans="1:2" x14ac:dyDescent="0.2">
      <c r="A12" s="3" t="s">
        <v>61</v>
      </c>
      <c r="B12" s="3"/>
    </row>
    <row r="13" spans="1:2" x14ac:dyDescent="0.2">
      <c r="A13" s="3" t="s">
        <v>62</v>
      </c>
      <c r="B13" s="3"/>
    </row>
    <row r="14" spans="1:2" x14ac:dyDescent="0.2">
      <c r="A14" s="3" t="s">
        <v>63</v>
      </c>
      <c r="B14" s="3"/>
    </row>
    <row r="15" spans="1:2" x14ac:dyDescent="0.2">
      <c r="A15" s="3" t="s">
        <v>64</v>
      </c>
      <c r="B15" s="3"/>
    </row>
    <row r="16" spans="1:2" x14ac:dyDescent="0.2">
      <c r="A16" s="3" t="s">
        <v>65</v>
      </c>
      <c r="B16" s="3"/>
    </row>
    <row r="17" spans="1:2" x14ac:dyDescent="0.2">
      <c r="A17" s="3" t="s">
        <v>66</v>
      </c>
      <c r="B17" s="3"/>
    </row>
    <row r="18" spans="1:2" x14ac:dyDescent="0.2">
      <c r="A18" s="3" t="s">
        <v>67</v>
      </c>
      <c r="B18" s="3"/>
    </row>
    <row r="19" spans="1:2" x14ac:dyDescent="0.2">
      <c r="A19" s="3" t="s">
        <v>68</v>
      </c>
      <c r="B19" s="3"/>
    </row>
    <row r="20" spans="1:2" x14ac:dyDescent="0.2">
      <c r="A20" s="3" t="s">
        <v>69</v>
      </c>
      <c r="B20" s="3"/>
    </row>
  </sheetData>
  <mergeCells count="13">
    <mergeCell ref="A18:B18"/>
    <mergeCell ref="A19:B19"/>
    <mergeCell ref="A20:B20"/>
    <mergeCell ref="A13:B13"/>
    <mergeCell ref="A14:B14"/>
    <mergeCell ref="A15:B15"/>
    <mergeCell ref="A16:B16"/>
    <mergeCell ref="A17:B17"/>
    <mergeCell ref="A1:B1"/>
    <mergeCell ref="A3:B3"/>
    <mergeCell ref="A10:B10"/>
    <mergeCell ref="A11:B11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M46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73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82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83</v>
      </c>
      <c r="B8" s="26"/>
      <c r="D8" s="26"/>
      <c r="F8" s="26"/>
      <c r="H8" s="26"/>
      <c r="J8" s="26"/>
      <c r="L8" s="26"/>
    </row>
    <row r="9" spans="1:13" x14ac:dyDescent="0.2">
      <c r="A9" s="25" t="s">
        <v>84</v>
      </c>
      <c r="B9" s="26"/>
      <c r="D9" s="26"/>
      <c r="F9" s="26"/>
      <c r="H9" s="26"/>
      <c r="J9" s="26"/>
      <c r="L9" s="26"/>
    </row>
    <row r="10" spans="1:13" x14ac:dyDescent="0.2">
      <c r="A10" s="25" t="s">
        <v>85</v>
      </c>
      <c r="B10" s="27" t="str">
        <f>IF(B8=0,"",B9/B8)</f>
        <v/>
      </c>
      <c r="D10" s="27" t="str">
        <f>IF(D8=0,"",D9/D8)</f>
        <v/>
      </c>
      <c r="F10" s="27" t="str">
        <f>IF(F8=0,"",F9/F8)</f>
        <v/>
      </c>
      <c r="H10" s="27" t="str">
        <f>IF(H8=0,"",H9/H8)</f>
        <v/>
      </c>
      <c r="J10" s="27" t="str">
        <f>IF(J8=0,"",J9/J8)</f>
        <v/>
      </c>
      <c r="L10" s="27" t="str">
        <f>IF(L8=0,"",L9/L8)</f>
        <v/>
      </c>
    </row>
    <row r="11" spans="1:13" x14ac:dyDescent="0.2">
      <c r="A11" s="25" t="s">
        <v>86</v>
      </c>
      <c r="B11" s="28" t="str">
        <f>IF(B9=0,"",B16/B9)</f>
        <v/>
      </c>
      <c r="D11" s="28" t="str">
        <f>IF(D9=0,"",D16/D9)</f>
        <v/>
      </c>
      <c r="F11" s="28" t="str">
        <f>IF(F9=0,"",F16/F9)</f>
        <v/>
      </c>
      <c r="H11" s="28" t="str">
        <f>IF(H9=0,"",H16/H9)</f>
        <v/>
      </c>
      <c r="J11" s="28" t="str">
        <f>IF(J9=0,"",J16/J9)</f>
        <v/>
      </c>
      <c r="L11" s="28" t="str">
        <f>IF(L9=0,"",L16/L9)</f>
        <v/>
      </c>
    </row>
    <row r="12" spans="1:13" x14ac:dyDescent="0.2">
      <c r="A12" s="25" t="s">
        <v>87</v>
      </c>
      <c r="B12" s="28" t="str">
        <f>IF(B8=0,"",B16/B8)</f>
        <v/>
      </c>
      <c r="D12" s="28" t="str">
        <f>IF(D8=0,"",D16/D8)</f>
        <v/>
      </c>
      <c r="F12" s="28" t="str">
        <f>IF(F8=0,"",F16/F8)</f>
        <v/>
      </c>
      <c r="H12" s="28" t="str">
        <f>IF(H8=0,"",H16/H8)</f>
        <v/>
      </c>
      <c r="J12" s="28" t="str">
        <f>IF(J8=0,"",J16/J8)</f>
        <v/>
      </c>
      <c r="L12" s="28" t="str">
        <f>IF(L8=0,"",L16/L8)</f>
        <v/>
      </c>
    </row>
    <row r="13" spans="1:13" x14ac:dyDescent="0.2">
      <c r="A13" s="25" t="s">
        <v>88</v>
      </c>
      <c r="B13" s="28" t="str">
        <f>IF(B8=0,"",B20/B8)</f>
        <v/>
      </c>
      <c r="D13" s="28" t="str">
        <f>IF(D8=0,"",D20/D8)</f>
        <v/>
      </c>
      <c r="F13" s="28" t="str">
        <f>IF(F8=0,"",F20/F8)</f>
        <v/>
      </c>
      <c r="H13" s="28" t="str">
        <f>IF(H8=0,"",H20/H8)</f>
        <v/>
      </c>
      <c r="J13" s="28" t="str">
        <f>IF(J8=0,"",J20/J8)</f>
        <v/>
      </c>
      <c r="L13" s="28" t="str">
        <f>IF(L8=0,"",L20/L8)</f>
        <v/>
      </c>
    </row>
    <row r="14" spans="1:13" x14ac:dyDescent="0.2">
      <c r="A14" s="29"/>
    </row>
    <row r="15" spans="1:13" x14ac:dyDescent="0.2">
      <c r="A15" s="23" t="s">
        <v>89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2">
      <c r="A16" s="25" t="s">
        <v>90</v>
      </c>
      <c r="B16" s="30">
        <f>'Schedule 1 - Rooms'!B25</f>
        <v>0</v>
      </c>
      <c r="C16" s="31" t="str">
        <f>IF(OR('Summary Op Stmt (Operators)'!$B$20=0,'Summary Op Stmt (Operators)'!$B$20=""),"",B16/'Summary Op Stmt (Operators)'!$B$20)</f>
        <v/>
      </c>
      <c r="D16" s="30">
        <f>'Schedule 1 - Rooms'!D25</f>
        <v>0</v>
      </c>
      <c r="E16" s="31" t="str">
        <f>IF(OR('Summary Op Stmt (Operators)'!$D$20=0,'Summary Op Stmt (Operators)'!$D$20=""),"",D16/'Summary Op Stmt (Operators)'!$D$20)</f>
        <v/>
      </c>
      <c r="F16" s="30">
        <f>'Schedule 1 - Rooms'!F25</f>
        <v>0</v>
      </c>
      <c r="G16" s="31" t="str">
        <f>IF(OR('Summary Op Stmt (Operators)'!$F$20=0,'Summary Op Stmt (Operators)'!$F$20=""),"",F16/'Summary Op Stmt (Operators)'!$F$20)</f>
        <v/>
      </c>
      <c r="H16" s="30">
        <f>'Schedule 1 - Rooms'!H25</f>
        <v>0</v>
      </c>
      <c r="I16" s="31" t="str">
        <f>IF(OR('Summary Op Stmt (Operators)'!$H$20=0,'Summary Op Stmt (Operators)'!$H$20=""),"",H16/'Summary Op Stmt (Operators)'!$H$20)</f>
        <v/>
      </c>
      <c r="J16" s="30">
        <f>'Schedule 1 - Rooms'!J25</f>
        <v>0</v>
      </c>
      <c r="K16" s="31" t="str">
        <f>IF(OR('Summary Op Stmt (Operators)'!$J$20=0,'Summary Op Stmt (Operators)'!$J$20=""),"",J16/'Summary Op Stmt (Operators)'!$J$20)</f>
        <v/>
      </c>
      <c r="L16" s="30">
        <f>'Schedule 1 - Rooms'!L25</f>
        <v>0</v>
      </c>
      <c r="M16" s="31" t="str">
        <f>IF(OR('Summary Op Stmt (Operators)'!$L$20=0,'Summary Op Stmt (Operators)'!$L$20=""),"",L16/'Summary Op Stmt (Operators)'!$L$20)</f>
        <v/>
      </c>
    </row>
    <row r="17" spans="1:13" x14ac:dyDescent="0.2">
      <c r="A17" s="25" t="s">
        <v>91</v>
      </c>
      <c r="B17" s="30">
        <f>'Schedule 2 - Food &amp; Beverage'!B32</f>
        <v>0</v>
      </c>
      <c r="C17" s="31" t="str">
        <f>IF(OR('Summary Op Stmt (Operators)'!$B$20=0,'Summary Op Stmt (Operators)'!$B$20=""),"",B17/'Summary Op Stmt (Operators)'!$B$20)</f>
        <v/>
      </c>
      <c r="D17" s="30">
        <f>'Schedule 2 - Food &amp; Beverage'!D32</f>
        <v>0</v>
      </c>
      <c r="E17" s="31" t="str">
        <f>IF(OR('Summary Op Stmt (Operators)'!$D$20=0,'Summary Op Stmt (Operators)'!$D$20=""),"",D17/'Summary Op Stmt (Operators)'!$D$20)</f>
        <v/>
      </c>
      <c r="F17" s="30">
        <f>'Schedule 2 - Food &amp; Beverage'!F32</f>
        <v>0</v>
      </c>
      <c r="G17" s="31" t="str">
        <f>IF(OR('Summary Op Stmt (Operators)'!$F$20=0,'Summary Op Stmt (Operators)'!$F$20=""),"",F17/'Summary Op Stmt (Operators)'!$F$20)</f>
        <v/>
      </c>
      <c r="H17" s="30">
        <f>'Schedule 2 - Food &amp; Beverage'!H32</f>
        <v>0</v>
      </c>
      <c r="I17" s="31" t="str">
        <f>IF(OR('Summary Op Stmt (Operators)'!$H$20=0,'Summary Op Stmt (Operators)'!$H$20=""),"",H17/'Summary Op Stmt (Operators)'!$H$20)</f>
        <v/>
      </c>
      <c r="J17" s="30">
        <f>'Schedule 2 - Food &amp; Beverage'!J32</f>
        <v>0</v>
      </c>
      <c r="K17" s="31" t="str">
        <f>IF(OR('Summary Op Stmt (Operators)'!$J$20=0,'Summary Op Stmt (Operators)'!$J$20=""),"",J17/'Summary Op Stmt (Operators)'!$J$20)</f>
        <v/>
      </c>
      <c r="L17" s="30">
        <f>'Schedule 2 - Food &amp; Beverage'!L32</f>
        <v>0</v>
      </c>
      <c r="M17" s="31" t="str">
        <f>IF(OR('Summary Op Stmt (Operators)'!$L$20=0,'Summary Op Stmt (Operators)'!$L$20=""),"",L17/'Summary Op Stmt (Operators)'!$L$20)</f>
        <v/>
      </c>
    </row>
    <row r="18" spans="1:13" x14ac:dyDescent="0.2">
      <c r="A18" s="25" t="s">
        <v>92</v>
      </c>
      <c r="B18" s="30">
        <f>'Schedule 3 - Other Op Depts'!B13</f>
        <v>0</v>
      </c>
      <c r="C18" s="31" t="str">
        <f>IF(OR('Summary Op Stmt (Operators)'!$B$20=0,'Summary Op Stmt (Operators)'!$B$20=""),"",B18/'Summary Op Stmt (Operators)'!$B$20)</f>
        <v/>
      </c>
      <c r="D18" s="30">
        <f>'Schedule 3 - Other Op Depts'!D13</f>
        <v>0</v>
      </c>
      <c r="E18" s="31" t="str">
        <f>IF(OR('Summary Op Stmt (Operators)'!$D$20=0,'Summary Op Stmt (Operators)'!$D$20=""),"",D18/'Summary Op Stmt (Operators)'!$D$20)</f>
        <v/>
      </c>
      <c r="F18" s="30">
        <f>'Schedule 3 - Other Op Depts'!F13</f>
        <v>0</v>
      </c>
      <c r="G18" s="31" t="str">
        <f>IF(OR('Summary Op Stmt (Operators)'!$F$20=0,'Summary Op Stmt (Operators)'!$F$20=""),"",F18/'Summary Op Stmt (Operators)'!$F$20)</f>
        <v/>
      </c>
      <c r="H18" s="30">
        <f>'Schedule 3 - Other Op Depts'!H13</f>
        <v>0</v>
      </c>
      <c r="I18" s="31" t="str">
        <f>IF(OR('Summary Op Stmt (Operators)'!$H$20=0,'Summary Op Stmt (Operators)'!$H$20=""),"",H18/'Summary Op Stmt (Operators)'!$H$20)</f>
        <v/>
      </c>
      <c r="J18" s="30">
        <f>'Schedule 3 - Other Op Depts'!J13</f>
        <v>0</v>
      </c>
      <c r="K18" s="31" t="str">
        <f>IF(OR('Summary Op Stmt (Operators)'!$J$20=0,'Summary Op Stmt (Operators)'!$J$20=""),"",J18/'Summary Op Stmt (Operators)'!$J$20)</f>
        <v/>
      </c>
      <c r="L18" s="30">
        <f>'Schedule 3 - Other Op Depts'!L13</f>
        <v>0</v>
      </c>
      <c r="M18" s="31" t="str">
        <f>IF(OR('Summary Op Stmt (Operators)'!$L$20=0,'Summary Op Stmt (Operators)'!$L$20=""),"",L18/'Summary Op Stmt (Operators)'!$L$20)</f>
        <v/>
      </c>
    </row>
    <row r="19" spans="1:13" x14ac:dyDescent="0.2">
      <c r="A19" s="25" t="s">
        <v>93</v>
      </c>
      <c r="B19" s="30">
        <f>'Schedule 4 - Misc Income'!B22</f>
        <v>0</v>
      </c>
      <c r="C19" s="31" t="str">
        <f>IF(OR('Summary Op Stmt (Operators)'!$B$20=0,'Summary Op Stmt (Operators)'!$B$20=""),"",B19/'Summary Op Stmt (Operators)'!$B$20)</f>
        <v/>
      </c>
      <c r="D19" s="30">
        <f>'Schedule 4 - Misc Income'!D22</f>
        <v>0</v>
      </c>
      <c r="E19" s="31" t="str">
        <f>IF(OR('Summary Op Stmt (Operators)'!$D$20=0,'Summary Op Stmt (Operators)'!$D$20=""),"",D19/'Summary Op Stmt (Operators)'!$D$20)</f>
        <v/>
      </c>
      <c r="F19" s="30">
        <f>'Schedule 4 - Misc Income'!F22</f>
        <v>0</v>
      </c>
      <c r="G19" s="31" t="str">
        <f>IF(OR('Summary Op Stmt (Operators)'!$F$20=0,'Summary Op Stmt (Operators)'!$F$20=""),"",F19/'Summary Op Stmt (Operators)'!$F$20)</f>
        <v/>
      </c>
      <c r="H19" s="30">
        <f>'Schedule 4 - Misc Income'!H22</f>
        <v>0</v>
      </c>
      <c r="I19" s="31" t="str">
        <f>IF(OR('Summary Op Stmt (Operators)'!$H$20=0,'Summary Op Stmt (Operators)'!$H$20=""),"",H19/'Summary Op Stmt (Operators)'!$H$20)</f>
        <v/>
      </c>
      <c r="J19" s="30">
        <f>'Schedule 4 - Misc Income'!J22</f>
        <v>0</v>
      </c>
      <c r="K19" s="31" t="str">
        <f>IF(OR('Summary Op Stmt (Operators)'!$J$20=0,'Summary Op Stmt (Operators)'!$J$20=""),"",J19/'Summary Op Stmt (Operators)'!$J$20)</f>
        <v/>
      </c>
      <c r="L19" s="30">
        <f>'Schedule 4 - Misc Income'!L22</f>
        <v>0</v>
      </c>
      <c r="M19" s="31" t="str">
        <f>IF(OR('Summary Op Stmt (Operators)'!$L$20=0,'Summary Op Stmt (Operators)'!$L$20=""),"",L19/'Summary Op Stmt (Operators)'!$L$20)</f>
        <v/>
      </c>
    </row>
    <row r="20" spans="1:13" x14ac:dyDescent="0.2">
      <c r="A20" s="32" t="s">
        <v>94</v>
      </c>
      <c r="B20" s="33">
        <f>B16+B17+B18+B19</f>
        <v>0</v>
      </c>
      <c r="C20" s="34" t="str">
        <f>IF(OR('Summary Op Stmt (Operators)'!$B$20=0,'Summary Op Stmt (Operators)'!$B$20=""),"",B20/'Summary Op Stmt (Operators)'!$B$20)</f>
        <v/>
      </c>
      <c r="D20" s="33">
        <f>D16+D17+D18+D19</f>
        <v>0</v>
      </c>
      <c r="E20" s="34" t="str">
        <f>IF(OR('Summary Op Stmt (Operators)'!$D$20=0,'Summary Op Stmt (Operators)'!$D$20=""),"",D20/'Summary Op Stmt (Operators)'!$D$20)</f>
        <v/>
      </c>
      <c r="F20" s="33">
        <f>F16+F17+F18+F19</f>
        <v>0</v>
      </c>
      <c r="G20" s="34" t="str">
        <f>IF(OR('Summary Op Stmt (Operators)'!$F$20=0,'Summary Op Stmt (Operators)'!$F$20=""),"",F20/'Summary Op Stmt (Operators)'!$F$20)</f>
        <v/>
      </c>
      <c r="H20" s="33">
        <f>H16+H17+H18+H19</f>
        <v>0</v>
      </c>
      <c r="I20" s="34" t="str">
        <f>IF(OR('Summary Op Stmt (Operators)'!$H$20=0,'Summary Op Stmt (Operators)'!$H$20=""),"",H20/'Summary Op Stmt (Operators)'!$H$20)</f>
        <v/>
      </c>
      <c r="J20" s="33">
        <f>J16+J17+J18+J19</f>
        <v>0</v>
      </c>
      <c r="K20" s="34" t="str">
        <f>IF(OR('Summary Op Stmt (Operators)'!$J$20=0,'Summary Op Stmt (Operators)'!$J$20=""),"",J20/'Summary Op Stmt (Operators)'!$J$20)</f>
        <v/>
      </c>
      <c r="L20" s="33">
        <f>L16+L17+L18+L19</f>
        <v>0</v>
      </c>
      <c r="M20" s="34" t="str">
        <f>IF(OR('Summary Op Stmt (Operators)'!$L$20=0,'Summary Op Stmt (Operators)'!$L$20=""),"",L20/'Summary Op Stmt (Operators)'!$L$20)</f>
        <v/>
      </c>
    </row>
    <row r="21" spans="1:13" x14ac:dyDescent="0.2">
      <c r="A21" s="23" t="s">
        <v>95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2">
      <c r="A22" s="25" t="s">
        <v>90</v>
      </c>
      <c r="B22" s="30">
        <f>'Schedule 1 - Rooms'!B81</f>
        <v>0</v>
      </c>
      <c r="C22" s="31" t="str">
        <f>IF(OR(B16=0,B16=""),"",B22/B16)</f>
        <v/>
      </c>
      <c r="D22" s="30">
        <f>'Schedule 1 - Rooms'!D81</f>
        <v>0</v>
      </c>
      <c r="E22" s="31" t="str">
        <f>IF(OR(D16=0,D16=""),"",D22/D16)</f>
        <v/>
      </c>
      <c r="F22" s="30">
        <f>'Schedule 1 - Rooms'!F81</f>
        <v>0</v>
      </c>
      <c r="G22" s="31" t="str">
        <f>IF(OR(F16=0,F16=""),"",F22/F16)</f>
        <v/>
      </c>
      <c r="H22" s="30">
        <f>'Schedule 1 - Rooms'!H81</f>
        <v>0</v>
      </c>
      <c r="I22" s="31" t="str">
        <f>IF(OR(H16=0,H16=""),"",H22/H16)</f>
        <v/>
      </c>
      <c r="J22" s="30">
        <f>'Schedule 1 - Rooms'!J81</f>
        <v>0</v>
      </c>
      <c r="K22" s="31" t="str">
        <f>IF(OR(J16=0,J16=""),"",J22/J16)</f>
        <v/>
      </c>
      <c r="L22" s="30">
        <f>'Schedule 1 - Rooms'!L81</f>
        <v>0</v>
      </c>
      <c r="M22" s="31" t="str">
        <f>IF(OR(L16=0,L16=""),"",L22/L16)</f>
        <v/>
      </c>
    </row>
    <row r="23" spans="1:13" x14ac:dyDescent="0.2">
      <c r="A23" s="25" t="s">
        <v>91</v>
      </c>
      <c r="B23" s="30">
        <f>'Schedule 2 - Food &amp; Beverage'!B42+'Schedule 2 - Food &amp; Beverage'!B105</f>
        <v>0</v>
      </c>
      <c r="C23" s="31" t="str">
        <f>IF(OR(B17=0,B17=""),"",B23/B17)</f>
        <v/>
      </c>
      <c r="D23" s="30">
        <f>'Schedule 2 - Food &amp; Beverage'!D42+'Schedule 2 - Food &amp; Beverage'!D105</f>
        <v>0</v>
      </c>
      <c r="E23" s="31" t="str">
        <f>IF(OR(D17=0,D17=""),"",D23/D17)</f>
        <v/>
      </c>
      <c r="F23" s="30">
        <f>'Schedule 2 - Food &amp; Beverage'!F42+'Schedule 2 - Food &amp; Beverage'!F105</f>
        <v>0</v>
      </c>
      <c r="G23" s="31" t="str">
        <f>IF(OR(F17=0,F17=""),"",F23/F17)</f>
        <v/>
      </c>
      <c r="H23" s="30">
        <f>'Schedule 2 - Food &amp; Beverage'!H42+'Schedule 2 - Food &amp; Beverage'!H105</f>
        <v>0</v>
      </c>
      <c r="I23" s="31" t="str">
        <f>IF(OR(H17=0,H17=""),"",H23/H17)</f>
        <v/>
      </c>
      <c r="J23" s="30">
        <f>'Schedule 2 - Food &amp; Beverage'!J42+'Schedule 2 - Food &amp; Beverage'!J105</f>
        <v>0</v>
      </c>
      <c r="K23" s="31" t="str">
        <f>IF(OR(J17=0,J17=""),"",J23/J17)</f>
        <v/>
      </c>
      <c r="L23" s="30">
        <f>'Schedule 2 - Food &amp; Beverage'!L42+'Schedule 2 - Food &amp; Beverage'!L105</f>
        <v>0</v>
      </c>
      <c r="M23" s="31" t="str">
        <f>IF(OR(L17=0,L17=""),"",L23/L17)</f>
        <v/>
      </c>
    </row>
    <row r="24" spans="1:13" x14ac:dyDescent="0.2">
      <c r="A24" s="25" t="s">
        <v>92</v>
      </c>
      <c r="B24" s="30">
        <f>'Schedule 3 - Other Op Depts'!B20</f>
        <v>0</v>
      </c>
      <c r="C24" s="31" t="str">
        <f>IF(OR(B18=0,B18=""),"",B24/B18)</f>
        <v/>
      </c>
      <c r="D24" s="30">
        <f>'Schedule 3 - Other Op Depts'!D20</f>
        <v>0</v>
      </c>
      <c r="E24" s="31" t="str">
        <f>IF(OR(D18=0,D18=""),"",D24/D18)</f>
        <v/>
      </c>
      <c r="F24" s="30">
        <f>'Schedule 3 - Other Op Depts'!F20</f>
        <v>0</v>
      </c>
      <c r="G24" s="31" t="str">
        <f>IF(OR(F18=0,F18=""),"",F24/F18)</f>
        <v/>
      </c>
      <c r="H24" s="30">
        <f>'Schedule 3 - Other Op Depts'!H20</f>
        <v>0</v>
      </c>
      <c r="I24" s="31" t="str">
        <f>IF(OR(H18=0,H18=""),"",H24/H18)</f>
        <v/>
      </c>
      <c r="J24" s="30">
        <f>'Schedule 3 - Other Op Depts'!J20</f>
        <v>0</v>
      </c>
      <c r="K24" s="31" t="str">
        <f>IF(OR(J18=0,J18=""),"",J24/J18)</f>
        <v/>
      </c>
      <c r="L24" s="30">
        <f>'Schedule 3 - Other Op Depts'!L20</f>
        <v>0</v>
      </c>
      <c r="M24" s="31" t="str">
        <f>IF(OR(L18=0,L18=""),"",L24/L18)</f>
        <v/>
      </c>
    </row>
    <row r="25" spans="1:13" x14ac:dyDescent="0.2">
      <c r="A25" s="32" t="s">
        <v>96</v>
      </c>
      <c r="B25" s="33">
        <f>B22+B23+B24</f>
        <v>0</v>
      </c>
      <c r="C25" s="34" t="str">
        <f>IF(OR('Summary Op Stmt (Operators)'!$B$20=0,'Summary Op Stmt (Operators)'!$B$20=""),"",B25/'Summary Op Stmt (Operators)'!$B$20)</f>
        <v/>
      </c>
      <c r="D25" s="33">
        <f>D22+D23+D24</f>
        <v>0</v>
      </c>
      <c r="E25" s="34" t="str">
        <f>IF(OR('Summary Op Stmt (Operators)'!$D$20=0,'Summary Op Stmt (Operators)'!$D$20=""),"",D25/'Summary Op Stmt (Operators)'!$D$20)</f>
        <v/>
      </c>
      <c r="F25" s="33">
        <f>F22+F23+F24</f>
        <v>0</v>
      </c>
      <c r="G25" s="34" t="str">
        <f>IF(OR('Summary Op Stmt (Operators)'!$F$20=0,'Summary Op Stmt (Operators)'!$F$20=""),"",F25/'Summary Op Stmt (Operators)'!$F$20)</f>
        <v/>
      </c>
      <c r="H25" s="33">
        <f>H22+H23+H24</f>
        <v>0</v>
      </c>
      <c r="I25" s="34" t="str">
        <f>IF(OR('Summary Op Stmt (Operators)'!$H$20=0,'Summary Op Stmt (Operators)'!$H$20=""),"",H25/'Summary Op Stmt (Operators)'!$H$20)</f>
        <v/>
      </c>
      <c r="J25" s="33">
        <f>J22+J23+J24</f>
        <v>0</v>
      </c>
      <c r="K25" s="34" t="str">
        <f>IF(OR('Summary Op Stmt (Operators)'!$J$20=0,'Summary Op Stmt (Operators)'!$J$20=""),"",J25/'Summary Op Stmt (Operators)'!$J$20)</f>
        <v/>
      </c>
      <c r="L25" s="33">
        <f>L22+L23+L24</f>
        <v>0</v>
      </c>
      <c r="M25" s="34" t="str">
        <f>IF(OR('Summary Op Stmt (Operators)'!$L$20=0,'Summary Op Stmt (Operators)'!$L$20=""),"",L25/'Summary Op Stmt (Operators)'!$L$20)</f>
        <v/>
      </c>
    </row>
    <row r="26" spans="1:13" x14ac:dyDescent="0.2">
      <c r="A26" s="32" t="s">
        <v>97</v>
      </c>
      <c r="B26" s="33">
        <f>B20-B25</f>
        <v>0</v>
      </c>
      <c r="C26" s="34" t="str">
        <f>IF(OR('Summary Op Stmt (Operators)'!$B$20=0,'Summary Op Stmt (Operators)'!$B$20=""),"",B26/'Summary Op Stmt (Operators)'!$B$20)</f>
        <v/>
      </c>
      <c r="D26" s="33">
        <f>D20-D25</f>
        <v>0</v>
      </c>
      <c r="E26" s="34" t="str">
        <f>IF(OR('Summary Op Stmt (Operators)'!$D$20=0,'Summary Op Stmt (Operators)'!$D$20=""),"",D26/'Summary Op Stmt (Operators)'!$D$20)</f>
        <v/>
      </c>
      <c r="F26" s="33">
        <f>F20-F25</f>
        <v>0</v>
      </c>
      <c r="G26" s="34" t="str">
        <f>IF(OR('Summary Op Stmt (Operators)'!$F$20=0,'Summary Op Stmt (Operators)'!$F$20=""),"",F26/'Summary Op Stmt (Operators)'!$F$20)</f>
        <v/>
      </c>
      <c r="H26" s="33">
        <f>H20-H25</f>
        <v>0</v>
      </c>
      <c r="I26" s="34" t="str">
        <f>IF(OR('Summary Op Stmt (Operators)'!$H$20=0,'Summary Op Stmt (Operators)'!$H$20=""),"",H26/'Summary Op Stmt (Operators)'!$H$20)</f>
        <v/>
      </c>
      <c r="J26" s="33">
        <f>J20-J25</f>
        <v>0</v>
      </c>
      <c r="K26" s="34" t="str">
        <f>IF(OR('Summary Op Stmt (Operators)'!$J$20=0,'Summary Op Stmt (Operators)'!$J$20=""),"",J26/'Summary Op Stmt (Operators)'!$J$20)</f>
        <v/>
      </c>
      <c r="L26" s="33">
        <f>L20-L25</f>
        <v>0</v>
      </c>
      <c r="M26" s="34" t="str">
        <f>IF(OR('Summary Op Stmt (Operators)'!$L$20=0,'Summary Op Stmt (Operators)'!$L$20=""),"",L26/'Summary Op Stmt (Operators)'!$L$20)</f>
        <v/>
      </c>
    </row>
    <row r="27" spans="1:13" x14ac:dyDescent="0.2">
      <c r="A27" s="23" t="s">
        <v>98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2">
      <c r="A28" s="25" t="s">
        <v>99</v>
      </c>
      <c r="B28" s="30">
        <f>'Schedule 5 - Admin &amp; General'!B65</f>
        <v>0</v>
      </c>
      <c r="C28" s="31" t="str">
        <f>IF(OR('Summary Op Stmt (Operators)'!$B$20=0,'Summary Op Stmt (Operators)'!$B$20=""),"",B28/'Summary Op Stmt (Operators)'!$B$20)</f>
        <v/>
      </c>
      <c r="D28" s="30">
        <f>'Schedule 5 - Admin &amp; General'!D65</f>
        <v>0</v>
      </c>
      <c r="E28" s="31" t="str">
        <f>IF(OR('Summary Op Stmt (Operators)'!$D$20=0,'Summary Op Stmt (Operators)'!$D$20=""),"",D28/'Summary Op Stmt (Operators)'!$D$20)</f>
        <v/>
      </c>
      <c r="F28" s="30">
        <f>'Schedule 5 - Admin &amp; General'!F65</f>
        <v>0</v>
      </c>
      <c r="G28" s="31" t="str">
        <f>IF(OR('Summary Op Stmt (Operators)'!$F$20=0,'Summary Op Stmt (Operators)'!$F$20=""),"",F28/'Summary Op Stmt (Operators)'!$F$20)</f>
        <v/>
      </c>
      <c r="H28" s="30">
        <f>'Schedule 5 - Admin &amp; General'!H65</f>
        <v>0</v>
      </c>
      <c r="I28" s="31" t="str">
        <f>IF(OR('Summary Op Stmt (Operators)'!$H$20=0,'Summary Op Stmt (Operators)'!$H$20=""),"",H28/'Summary Op Stmt (Operators)'!$H$20)</f>
        <v/>
      </c>
      <c r="J28" s="30">
        <f>'Schedule 5 - Admin &amp; General'!J65</f>
        <v>0</v>
      </c>
      <c r="K28" s="31" t="str">
        <f>IF(OR('Summary Op Stmt (Operators)'!$J$20=0,'Summary Op Stmt (Operators)'!$J$20=""),"",J28/'Summary Op Stmt (Operators)'!$J$20)</f>
        <v/>
      </c>
      <c r="L28" s="30">
        <f>'Schedule 5 - Admin &amp; General'!L65</f>
        <v>0</v>
      </c>
      <c r="M28" s="31" t="str">
        <f>IF(OR('Summary Op Stmt (Operators)'!$L$20=0,'Summary Op Stmt (Operators)'!$L$20=""),"",L28/'Summary Op Stmt (Operators)'!$L$20)</f>
        <v/>
      </c>
    </row>
    <row r="29" spans="1:13" x14ac:dyDescent="0.2">
      <c r="A29" s="25" t="s">
        <v>100</v>
      </c>
      <c r="B29" s="30">
        <f>'Schedule 6 - Info &amp; Telecom'!B68</f>
        <v>0</v>
      </c>
      <c r="C29" s="31" t="str">
        <f>IF(OR('Summary Op Stmt (Operators)'!$B$20=0,'Summary Op Stmt (Operators)'!$B$20=""),"",B29/'Summary Op Stmt (Operators)'!$B$20)</f>
        <v/>
      </c>
      <c r="D29" s="30">
        <f>'Schedule 6 - Info &amp; Telecom'!D68</f>
        <v>0</v>
      </c>
      <c r="E29" s="31" t="str">
        <f>IF(OR('Summary Op Stmt (Operators)'!$D$20=0,'Summary Op Stmt (Operators)'!$D$20=""),"",D29/'Summary Op Stmt (Operators)'!$D$20)</f>
        <v/>
      </c>
      <c r="F29" s="30">
        <f>'Schedule 6 - Info &amp; Telecom'!F68</f>
        <v>0</v>
      </c>
      <c r="G29" s="31" t="str">
        <f>IF(OR('Summary Op Stmt (Operators)'!$F$20=0,'Summary Op Stmt (Operators)'!$F$20=""),"",F29/'Summary Op Stmt (Operators)'!$F$20)</f>
        <v/>
      </c>
      <c r="H29" s="30">
        <f>'Schedule 6 - Info &amp; Telecom'!H68</f>
        <v>0</v>
      </c>
      <c r="I29" s="31" t="str">
        <f>IF(OR('Summary Op Stmt (Operators)'!$H$20=0,'Summary Op Stmt (Operators)'!$H$20=""),"",H29/'Summary Op Stmt (Operators)'!$H$20)</f>
        <v/>
      </c>
      <c r="J29" s="30">
        <f>'Schedule 6 - Info &amp; Telecom'!J68</f>
        <v>0</v>
      </c>
      <c r="K29" s="31" t="str">
        <f>IF(OR('Summary Op Stmt (Operators)'!$J$20=0,'Summary Op Stmt (Operators)'!$J$20=""),"",J29/'Summary Op Stmt (Operators)'!$J$20)</f>
        <v/>
      </c>
      <c r="L29" s="30">
        <f>'Schedule 6 - Info &amp; Telecom'!L68</f>
        <v>0</v>
      </c>
      <c r="M29" s="31" t="str">
        <f>IF(OR('Summary Op Stmt (Operators)'!$L$20=0,'Summary Op Stmt (Operators)'!$L$20=""),"",L29/'Summary Op Stmt (Operators)'!$L$20)</f>
        <v/>
      </c>
    </row>
    <row r="30" spans="1:13" x14ac:dyDescent="0.2">
      <c r="A30" s="25" t="s">
        <v>101</v>
      </c>
      <c r="B30" s="30">
        <f>'Schedule 7 - Sales &amp; Marketing'!B57</f>
        <v>0</v>
      </c>
      <c r="C30" s="31" t="str">
        <f>IF(OR('Summary Op Stmt (Operators)'!$B$20=0,'Summary Op Stmt (Operators)'!$B$20=""),"",B30/'Summary Op Stmt (Operators)'!$B$20)</f>
        <v/>
      </c>
      <c r="D30" s="30">
        <f>'Schedule 7 - Sales &amp; Marketing'!D57</f>
        <v>0</v>
      </c>
      <c r="E30" s="31" t="str">
        <f>IF(OR('Summary Op Stmt (Operators)'!$D$20=0,'Summary Op Stmt (Operators)'!$D$20=""),"",D30/'Summary Op Stmt (Operators)'!$D$20)</f>
        <v/>
      </c>
      <c r="F30" s="30">
        <f>'Schedule 7 - Sales &amp; Marketing'!F57</f>
        <v>0</v>
      </c>
      <c r="G30" s="31" t="str">
        <f>IF(OR('Summary Op Stmt (Operators)'!$F$20=0,'Summary Op Stmt (Operators)'!$F$20=""),"",F30/'Summary Op Stmt (Operators)'!$F$20)</f>
        <v/>
      </c>
      <c r="H30" s="30">
        <f>'Schedule 7 - Sales &amp; Marketing'!H57</f>
        <v>0</v>
      </c>
      <c r="I30" s="31" t="str">
        <f>IF(OR('Summary Op Stmt (Operators)'!$H$20=0,'Summary Op Stmt (Operators)'!$H$20=""),"",H30/'Summary Op Stmt (Operators)'!$H$20)</f>
        <v/>
      </c>
      <c r="J30" s="30">
        <f>'Schedule 7 - Sales &amp; Marketing'!J57</f>
        <v>0</v>
      </c>
      <c r="K30" s="31" t="str">
        <f>IF(OR('Summary Op Stmt (Operators)'!$J$20=0,'Summary Op Stmt (Operators)'!$J$20=""),"",J30/'Summary Op Stmt (Operators)'!$J$20)</f>
        <v/>
      </c>
      <c r="L30" s="30">
        <f>'Schedule 7 - Sales &amp; Marketing'!L57</f>
        <v>0</v>
      </c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102</v>
      </c>
      <c r="B31" s="30">
        <f>'Schedule 8 - Prop Op &amp; Maint'!B57</f>
        <v>0</v>
      </c>
      <c r="C31" s="31" t="str">
        <f>IF(OR('Summary Op Stmt (Operators)'!$B$20=0,'Summary Op Stmt (Operators)'!$B$20=""),"",B31/'Summary Op Stmt (Operators)'!$B$20)</f>
        <v/>
      </c>
      <c r="D31" s="30">
        <f>'Schedule 8 - Prop Op &amp; Maint'!D57</f>
        <v>0</v>
      </c>
      <c r="E31" s="31" t="str">
        <f>IF(OR('Summary Op Stmt (Operators)'!$D$20=0,'Summary Op Stmt (Operators)'!$D$20=""),"",D31/'Summary Op Stmt (Operators)'!$D$20)</f>
        <v/>
      </c>
      <c r="F31" s="30">
        <f>'Schedule 8 - Prop Op &amp; Maint'!F57</f>
        <v>0</v>
      </c>
      <c r="G31" s="31" t="str">
        <f>IF(OR('Summary Op Stmt (Operators)'!$F$20=0,'Summary Op Stmt (Operators)'!$F$20=""),"",F31/'Summary Op Stmt (Operators)'!$F$20)</f>
        <v/>
      </c>
      <c r="H31" s="30">
        <f>'Schedule 8 - Prop Op &amp; Maint'!H57</f>
        <v>0</v>
      </c>
      <c r="I31" s="31" t="str">
        <f>IF(OR('Summary Op Stmt (Operators)'!$H$20=0,'Summary Op Stmt (Operators)'!$H$20=""),"",H31/'Summary Op Stmt (Operators)'!$H$20)</f>
        <v/>
      </c>
      <c r="J31" s="30">
        <f>'Schedule 8 - Prop Op &amp; Maint'!J57</f>
        <v>0</v>
      </c>
      <c r="K31" s="31" t="str">
        <f>IF(OR('Summary Op Stmt (Operators)'!$J$20=0,'Summary Op Stmt (Operators)'!$J$20=""),"",J31/'Summary Op Stmt (Operators)'!$J$20)</f>
        <v/>
      </c>
      <c r="L31" s="30">
        <f>'Schedule 8 - Prop Op &amp; Maint'!L57</f>
        <v>0</v>
      </c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25" t="s">
        <v>103</v>
      </c>
      <c r="B32" s="30">
        <f>'Schedule 9 - Utilities'!B16</f>
        <v>0</v>
      </c>
      <c r="C32" s="31" t="str">
        <f>IF(OR('Summary Op Stmt (Operators)'!$B$20=0,'Summary Op Stmt (Operators)'!$B$20=""),"",B32/'Summary Op Stmt (Operators)'!$B$20)</f>
        <v/>
      </c>
      <c r="D32" s="30">
        <f>'Schedule 9 - Utilities'!D16</f>
        <v>0</v>
      </c>
      <c r="E32" s="31" t="str">
        <f>IF(OR('Summary Op Stmt (Operators)'!$D$20=0,'Summary Op Stmt (Operators)'!$D$20=""),"",D32/'Summary Op Stmt (Operators)'!$D$20)</f>
        <v/>
      </c>
      <c r="F32" s="30">
        <f>'Schedule 9 - Utilities'!F16</f>
        <v>0</v>
      </c>
      <c r="G32" s="31" t="str">
        <f>IF(OR('Summary Op Stmt (Operators)'!$F$20=0,'Summary Op Stmt (Operators)'!$F$20=""),"",F32/'Summary Op Stmt (Operators)'!$F$20)</f>
        <v/>
      </c>
      <c r="H32" s="30">
        <f>'Schedule 9 - Utilities'!H16</f>
        <v>0</v>
      </c>
      <c r="I32" s="31" t="str">
        <f>IF(OR('Summary Op Stmt (Operators)'!$H$20=0,'Summary Op Stmt (Operators)'!$H$20=""),"",H32/'Summary Op Stmt (Operators)'!$H$20)</f>
        <v/>
      </c>
      <c r="J32" s="30">
        <f>'Schedule 9 - Utilities'!J16</f>
        <v>0</v>
      </c>
      <c r="K32" s="31" t="str">
        <f>IF(OR('Summary Op Stmt (Operators)'!$J$20=0,'Summary Op Stmt (Operators)'!$J$20=""),"",J32/'Summary Op Stmt (Operators)'!$J$20)</f>
        <v/>
      </c>
      <c r="L32" s="30">
        <f>'Schedule 9 - Utilities'!L16</f>
        <v>0</v>
      </c>
      <c r="M32" s="31" t="str">
        <f>IF(OR('Summary Op Stmt (Operators)'!$L$20=0,'Summary Op Stmt (Operators)'!$L$20=""),"",L32/'Summary Op Stmt (Operators)'!$L$20)</f>
        <v/>
      </c>
    </row>
    <row r="33" spans="1:13" x14ac:dyDescent="0.2">
      <c r="A33" s="32" t="s">
        <v>104</v>
      </c>
      <c r="B33" s="33">
        <f>B28+B29+B30+B31+B32</f>
        <v>0</v>
      </c>
      <c r="C33" s="34" t="str">
        <f>IF(OR('Summary Op Stmt (Operators)'!$B$20=0,'Summary Op Stmt (Operators)'!$B$20=""),"",B33/'Summary Op Stmt (Operators)'!$B$20)</f>
        <v/>
      </c>
      <c r="D33" s="33">
        <f>D28+D29+D30+D31+D32</f>
        <v>0</v>
      </c>
      <c r="E33" s="34" t="str">
        <f>IF(OR('Summary Op Stmt (Operators)'!$D$20=0,'Summary Op Stmt (Operators)'!$D$20=""),"",D33/'Summary Op Stmt (Operators)'!$D$20)</f>
        <v/>
      </c>
      <c r="F33" s="33">
        <f>F28+F29+F30+F31+F32</f>
        <v>0</v>
      </c>
      <c r="G33" s="34" t="str">
        <f>IF(OR('Summary Op Stmt (Operators)'!$F$20=0,'Summary Op Stmt (Operators)'!$F$20=""),"",F33/'Summary Op Stmt (Operators)'!$F$20)</f>
        <v/>
      </c>
      <c r="H33" s="33">
        <f>H28+H29+H30+H31+H32</f>
        <v>0</v>
      </c>
      <c r="I33" s="34" t="str">
        <f>IF(OR('Summary Op Stmt (Operators)'!$H$20=0,'Summary Op Stmt (Operators)'!$H$20=""),"",H33/'Summary Op Stmt (Operators)'!$H$20)</f>
        <v/>
      </c>
      <c r="J33" s="33">
        <f>J28+J29+J30+J31+J32</f>
        <v>0</v>
      </c>
      <c r="K33" s="34" t="str">
        <f>IF(OR('Summary Op Stmt (Operators)'!$J$20=0,'Summary Op Stmt (Operators)'!$J$20=""),"",J33/'Summary Op Stmt (Operators)'!$J$20)</f>
        <v/>
      </c>
      <c r="L33" s="33">
        <f>L28+L29+L30+L31+L32</f>
        <v>0</v>
      </c>
      <c r="M33" s="34" t="str">
        <f>IF(OR('Summary Op Stmt (Operators)'!$L$20=0,'Summary Op Stmt (Operators)'!$L$20=""),"",L33/'Summary Op Stmt (Operators)'!$L$20)</f>
        <v/>
      </c>
    </row>
    <row r="34" spans="1:13" x14ac:dyDescent="0.2">
      <c r="A34" s="32" t="s">
        <v>105</v>
      </c>
      <c r="B34" s="33">
        <f>B26-B33</f>
        <v>0</v>
      </c>
      <c r="C34" s="34" t="str">
        <f>IF(OR('Summary Op Stmt (Operators)'!$B$20=0,'Summary Op Stmt (Operators)'!$B$20=""),"",B34/'Summary Op Stmt (Operators)'!$B$20)</f>
        <v/>
      </c>
      <c r="D34" s="33">
        <f>D26-D33</f>
        <v>0</v>
      </c>
      <c r="E34" s="34" t="str">
        <f>IF(OR('Summary Op Stmt (Operators)'!$D$20=0,'Summary Op Stmt (Operators)'!$D$20=""),"",D34/'Summary Op Stmt (Operators)'!$D$20)</f>
        <v/>
      </c>
      <c r="F34" s="33">
        <f>F26-F33</f>
        <v>0</v>
      </c>
      <c r="G34" s="34" t="str">
        <f>IF(OR('Summary Op Stmt (Operators)'!$F$20=0,'Summary Op Stmt (Operators)'!$F$20=""),"",F34/'Summary Op Stmt (Operators)'!$F$20)</f>
        <v/>
      </c>
      <c r="H34" s="33">
        <f>H26-H33</f>
        <v>0</v>
      </c>
      <c r="I34" s="34" t="str">
        <f>IF(OR('Summary Op Stmt (Operators)'!$H$20=0,'Summary Op Stmt (Operators)'!$H$20=""),"",H34/'Summary Op Stmt (Operators)'!$H$20)</f>
        <v/>
      </c>
      <c r="J34" s="33">
        <f>J26-J33</f>
        <v>0</v>
      </c>
      <c r="K34" s="34" t="str">
        <f>IF(OR('Summary Op Stmt (Operators)'!$J$20=0,'Summary Op Stmt (Operators)'!$J$20=""),"",J34/'Summary Op Stmt (Operators)'!$J$20)</f>
        <v/>
      </c>
      <c r="L34" s="33">
        <f>L26-L33</f>
        <v>0</v>
      </c>
      <c r="M34" s="34" t="str">
        <f>IF(OR('Summary Op Stmt (Operators)'!$L$20=0,'Summary Op Stmt (Operators)'!$L$20=""),"",L34/'Summary Op Stmt (Operators)'!$L$20)</f>
        <v/>
      </c>
    </row>
    <row r="35" spans="1:13" x14ac:dyDescent="0.2">
      <c r="A35" s="25" t="s">
        <v>106</v>
      </c>
      <c r="B35" s="30">
        <f>'Schedule 10 - Management Fees'!B10</f>
        <v>0</v>
      </c>
      <c r="C35" s="31" t="str">
        <f>IF(OR('Summary Op Stmt (Operators)'!$B$20=0,'Summary Op Stmt (Operators)'!$B$20=""),"",B35/'Summary Op Stmt (Operators)'!$B$20)</f>
        <v/>
      </c>
      <c r="D35" s="30">
        <f>'Schedule 10 - Management Fees'!D10</f>
        <v>0</v>
      </c>
      <c r="E35" s="31" t="str">
        <f>IF(OR('Summary Op Stmt (Operators)'!$D$20=0,'Summary Op Stmt (Operators)'!$D$20=""),"",D35/'Summary Op Stmt (Operators)'!$D$20)</f>
        <v/>
      </c>
      <c r="F35" s="30">
        <f>'Schedule 10 - Management Fees'!F10</f>
        <v>0</v>
      </c>
      <c r="G35" s="31" t="str">
        <f>IF(OR('Summary Op Stmt (Operators)'!$F$20=0,'Summary Op Stmt (Operators)'!$F$20=""),"",F35/'Summary Op Stmt (Operators)'!$F$20)</f>
        <v/>
      </c>
      <c r="H35" s="30">
        <f>'Schedule 10 - Management Fees'!H10</f>
        <v>0</v>
      </c>
      <c r="I35" s="31" t="str">
        <f>IF(OR('Summary Op Stmt (Operators)'!$H$20=0,'Summary Op Stmt (Operators)'!$H$20=""),"",H35/'Summary Op Stmt (Operators)'!$H$20)</f>
        <v/>
      </c>
      <c r="J35" s="30">
        <f>'Schedule 10 - Management Fees'!J10</f>
        <v>0</v>
      </c>
      <c r="K35" s="31" t="str">
        <f>IF(OR('Summary Op Stmt (Operators)'!$J$20=0,'Summary Op Stmt (Operators)'!$J$20=""),"",J35/'Summary Op Stmt (Operators)'!$J$20)</f>
        <v/>
      </c>
      <c r="L35" s="30">
        <f>'Schedule 10 - Management Fees'!L10</f>
        <v>0</v>
      </c>
      <c r="M35" s="31" t="str">
        <f>IF(OR('Summary Op Stmt (Operators)'!$L$20=0,'Summary Op Stmt (Operators)'!$L$20=""),"",L35/'Summary Op Stmt (Operators)'!$L$20)</f>
        <v/>
      </c>
    </row>
    <row r="36" spans="1:13" x14ac:dyDescent="0.2">
      <c r="A36" s="32" t="s">
        <v>107</v>
      </c>
      <c r="B36" s="33">
        <f>B34-B35</f>
        <v>0</v>
      </c>
      <c r="C36" s="34" t="str">
        <f>IF(OR('Summary Op Stmt (Operators)'!$B$20=0,'Summary Op Stmt (Operators)'!$B$20=""),"",B36/'Summary Op Stmt (Operators)'!$B$20)</f>
        <v/>
      </c>
      <c r="D36" s="33">
        <f>D34-D35</f>
        <v>0</v>
      </c>
      <c r="E36" s="34" t="str">
        <f>IF(OR('Summary Op Stmt (Operators)'!$D$20=0,'Summary Op Stmt (Operators)'!$D$20=""),"",D36/'Summary Op Stmt (Operators)'!$D$20)</f>
        <v/>
      </c>
      <c r="F36" s="33">
        <f>F34-F35</f>
        <v>0</v>
      </c>
      <c r="G36" s="34" t="str">
        <f>IF(OR('Summary Op Stmt (Operators)'!$F$20=0,'Summary Op Stmt (Operators)'!$F$20=""),"",F36/'Summary Op Stmt (Operators)'!$F$20)</f>
        <v/>
      </c>
      <c r="H36" s="33">
        <f>H34-H35</f>
        <v>0</v>
      </c>
      <c r="I36" s="34" t="str">
        <f>IF(OR('Summary Op Stmt (Operators)'!$H$20=0,'Summary Op Stmt (Operators)'!$H$20=""),"",H36/'Summary Op Stmt (Operators)'!$H$20)</f>
        <v/>
      </c>
      <c r="J36" s="33">
        <f>J34-J35</f>
        <v>0</v>
      </c>
      <c r="K36" s="34" t="str">
        <f>IF(OR('Summary Op Stmt (Operators)'!$J$20=0,'Summary Op Stmt (Operators)'!$J$20=""),"",J36/'Summary Op Stmt (Operators)'!$J$20)</f>
        <v/>
      </c>
      <c r="L36" s="33">
        <f>L34-L35</f>
        <v>0</v>
      </c>
      <c r="M36" s="34" t="str">
        <f>IF(OR('Summary Op Stmt (Operators)'!$L$20=0,'Summary Op Stmt (Operators)'!$L$20=""),"",L36/'Summary Op Stmt (Operators)'!$L$20)</f>
        <v/>
      </c>
    </row>
    <row r="37" spans="1:13" x14ac:dyDescent="0.2">
      <c r="A37" s="23" t="s">
        <v>39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 x14ac:dyDescent="0.2">
      <c r="A38" s="25" t="s">
        <v>108</v>
      </c>
      <c r="B38" s="30">
        <f>'Schedule 11 - Non-Operating'!B11</f>
        <v>0</v>
      </c>
      <c r="C38" s="31" t="str">
        <f>IF(OR('Summary Op Stmt (Operators)'!$B$20=0,'Summary Op Stmt (Operators)'!$B$20=""),"",B38/'Summary Op Stmt (Operators)'!$B$20)</f>
        <v/>
      </c>
      <c r="D38" s="30">
        <f>'Schedule 11 - Non-Operating'!D11</f>
        <v>0</v>
      </c>
      <c r="E38" s="31" t="str">
        <f>IF(OR('Summary Op Stmt (Operators)'!$D$20=0,'Summary Op Stmt (Operators)'!$D$20=""),"",D38/'Summary Op Stmt (Operators)'!$D$20)</f>
        <v/>
      </c>
      <c r="F38" s="30">
        <f>'Schedule 11 - Non-Operating'!F11</f>
        <v>0</v>
      </c>
      <c r="G38" s="31" t="str">
        <f>IF(OR('Summary Op Stmt (Operators)'!$F$20=0,'Summary Op Stmt (Operators)'!$F$20=""),"",F38/'Summary Op Stmt (Operators)'!$F$20)</f>
        <v/>
      </c>
      <c r="H38" s="30">
        <f>'Schedule 11 - Non-Operating'!H11</f>
        <v>0</v>
      </c>
      <c r="I38" s="31" t="str">
        <f>IF(OR('Summary Op Stmt (Operators)'!$H$20=0,'Summary Op Stmt (Operators)'!$H$20=""),"",H38/'Summary Op Stmt (Operators)'!$H$20)</f>
        <v/>
      </c>
      <c r="J38" s="30">
        <f>'Schedule 11 - Non-Operating'!J11</f>
        <v>0</v>
      </c>
      <c r="K38" s="31" t="str">
        <f>IF(OR('Summary Op Stmt (Operators)'!$J$20=0,'Summary Op Stmt (Operators)'!$J$20=""),"",J38/'Summary Op Stmt (Operators)'!$J$20)</f>
        <v/>
      </c>
      <c r="L38" s="30">
        <f>'Schedule 11 - Non-Operating'!L11</f>
        <v>0</v>
      </c>
      <c r="M38" s="31" t="str">
        <f>IF(OR('Summary Op Stmt (Operators)'!$L$20=0,'Summary Op Stmt (Operators)'!$L$20=""),"",L38/'Summary Op Stmt (Operators)'!$L$20)</f>
        <v/>
      </c>
    </row>
    <row r="39" spans="1:13" x14ac:dyDescent="0.2">
      <c r="A39" s="25" t="s">
        <v>109</v>
      </c>
      <c r="B39" s="30">
        <f>'Schedule 11 - Non-Operating'!B15</f>
        <v>0</v>
      </c>
      <c r="C39" s="31" t="str">
        <f>IF(OR('Summary Op Stmt (Operators)'!$B$20=0,'Summary Op Stmt (Operators)'!$B$20=""),"",B39/'Summary Op Stmt (Operators)'!$B$20)</f>
        <v/>
      </c>
      <c r="D39" s="30">
        <f>'Schedule 11 - Non-Operating'!D15</f>
        <v>0</v>
      </c>
      <c r="E39" s="31" t="str">
        <f>IF(OR('Summary Op Stmt (Operators)'!$D$20=0,'Summary Op Stmt (Operators)'!$D$20=""),"",D39/'Summary Op Stmt (Operators)'!$D$20)</f>
        <v/>
      </c>
      <c r="F39" s="30">
        <f>'Schedule 11 - Non-Operating'!F15</f>
        <v>0</v>
      </c>
      <c r="G39" s="31" t="str">
        <f>IF(OR('Summary Op Stmt (Operators)'!$F$20=0,'Summary Op Stmt (Operators)'!$F$20=""),"",F39/'Summary Op Stmt (Operators)'!$F$20)</f>
        <v/>
      </c>
      <c r="H39" s="30">
        <f>'Schedule 11 - Non-Operating'!H15</f>
        <v>0</v>
      </c>
      <c r="I39" s="31" t="str">
        <f>IF(OR('Summary Op Stmt (Operators)'!$H$20=0,'Summary Op Stmt (Operators)'!$H$20=""),"",H39/'Summary Op Stmt (Operators)'!$H$20)</f>
        <v/>
      </c>
      <c r="J39" s="30">
        <f>'Schedule 11 - Non-Operating'!J15</f>
        <v>0</v>
      </c>
      <c r="K39" s="31" t="str">
        <f>IF(OR('Summary Op Stmt (Operators)'!$J$20=0,'Summary Op Stmt (Operators)'!$J$20=""),"",J39/'Summary Op Stmt (Operators)'!$J$20)</f>
        <v/>
      </c>
      <c r="L39" s="30">
        <f>'Schedule 11 - Non-Operating'!L15</f>
        <v>0</v>
      </c>
      <c r="M39" s="31" t="str">
        <f>IF(OR('Summary Op Stmt (Operators)'!$L$20=0,'Summary Op Stmt (Operators)'!$L$20=""),"",L39/'Summary Op Stmt (Operators)'!$L$20)</f>
        <v/>
      </c>
    </row>
    <row r="40" spans="1:13" x14ac:dyDescent="0.2">
      <c r="A40" s="25" t="s">
        <v>110</v>
      </c>
      <c r="B40" s="30">
        <f>'Schedule 11 - Non-Operating'!B21</f>
        <v>0</v>
      </c>
      <c r="C40" s="31" t="str">
        <f>IF(OR('Summary Op Stmt (Operators)'!$B$20=0,'Summary Op Stmt (Operators)'!$B$20=""),"",B40/'Summary Op Stmt (Operators)'!$B$20)</f>
        <v/>
      </c>
      <c r="D40" s="30">
        <f>'Schedule 11 - Non-Operating'!D21</f>
        <v>0</v>
      </c>
      <c r="E40" s="31" t="str">
        <f>IF(OR('Summary Op Stmt (Operators)'!$D$20=0,'Summary Op Stmt (Operators)'!$D$20=""),"",D40/'Summary Op Stmt (Operators)'!$D$20)</f>
        <v/>
      </c>
      <c r="F40" s="30">
        <f>'Schedule 11 - Non-Operating'!F21</f>
        <v>0</v>
      </c>
      <c r="G40" s="31" t="str">
        <f>IF(OR('Summary Op Stmt (Operators)'!$F$20=0,'Summary Op Stmt (Operators)'!$F$20=""),"",F40/'Summary Op Stmt (Operators)'!$F$20)</f>
        <v/>
      </c>
      <c r="H40" s="30">
        <f>'Schedule 11 - Non-Operating'!H21</f>
        <v>0</v>
      </c>
      <c r="I40" s="31" t="str">
        <f>IF(OR('Summary Op Stmt (Operators)'!$H$20=0,'Summary Op Stmt (Operators)'!$H$20=""),"",H40/'Summary Op Stmt (Operators)'!$H$20)</f>
        <v/>
      </c>
      <c r="J40" s="30">
        <f>'Schedule 11 - Non-Operating'!J21</f>
        <v>0</v>
      </c>
      <c r="K40" s="31" t="str">
        <f>IF(OR('Summary Op Stmt (Operators)'!$J$20=0,'Summary Op Stmt (Operators)'!$J$20=""),"",J40/'Summary Op Stmt (Operators)'!$J$20)</f>
        <v/>
      </c>
      <c r="L40" s="30">
        <f>'Schedule 11 - Non-Operating'!L21</f>
        <v>0</v>
      </c>
      <c r="M40" s="31" t="str">
        <f>IF(OR('Summary Op Stmt (Operators)'!$L$20=0,'Summary Op Stmt (Operators)'!$L$20=""),"",L40/'Summary Op Stmt (Operators)'!$L$20)</f>
        <v/>
      </c>
    </row>
    <row r="41" spans="1:13" x14ac:dyDescent="0.2">
      <c r="A41" s="25" t="s">
        <v>111</v>
      </c>
      <c r="B41" s="30">
        <f>'Schedule 11 - Non-Operating'!B26</f>
        <v>0</v>
      </c>
      <c r="C41" s="31" t="str">
        <f>IF(OR('Summary Op Stmt (Operators)'!$B$20=0,'Summary Op Stmt (Operators)'!$B$20=""),"",B41/'Summary Op Stmt (Operators)'!$B$20)</f>
        <v/>
      </c>
      <c r="D41" s="30">
        <f>'Schedule 11 - Non-Operating'!D26</f>
        <v>0</v>
      </c>
      <c r="E41" s="31" t="str">
        <f>IF(OR('Summary Op Stmt (Operators)'!$D$20=0,'Summary Op Stmt (Operators)'!$D$20=""),"",D41/'Summary Op Stmt (Operators)'!$D$20)</f>
        <v/>
      </c>
      <c r="F41" s="30">
        <f>'Schedule 11 - Non-Operating'!F26</f>
        <v>0</v>
      </c>
      <c r="G41" s="31" t="str">
        <f>IF(OR('Summary Op Stmt (Operators)'!$F$20=0,'Summary Op Stmt (Operators)'!$F$20=""),"",F41/'Summary Op Stmt (Operators)'!$F$20)</f>
        <v/>
      </c>
      <c r="H41" s="30">
        <f>'Schedule 11 - Non-Operating'!H26</f>
        <v>0</v>
      </c>
      <c r="I41" s="31" t="str">
        <f>IF(OR('Summary Op Stmt (Operators)'!$H$20=0,'Summary Op Stmt (Operators)'!$H$20=""),"",H41/'Summary Op Stmt (Operators)'!$H$20)</f>
        <v/>
      </c>
      <c r="J41" s="30">
        <f>'Schedule 11 - Non-Operating'!J26</f>
        <v>0</v>
      </c>
      <c r="K41" s="31" t="str">
        <f>IF(OR('Summary Op Stmt (Operators)'!$J$20=0,'Summary Op Stmt (Operators)'!$J$20=""),"",J41/'Summary Op Stmt (Operators)'!$J$20)</f>
        <v/>
      </c>
      <c r="L41" s="30">
        <f>'Schedule 11 - Non-Operating'!L26</f>
        <v>0</v>
      </c>
      <c r="M41" s="31" t="str">
        <f>IF(OR('Summary Op Stmt (Operators)'!$L$20=0,'Summary Op Stmt (Operators)'!$L$20=""),"",L41/'Summary Op Stmt (Operators)'!$L$20)</f>
        <v/>
      </c>
    </row>
    <row r="42" spans="1:13" x14ac:dyDescent="0.2">
      <c r="A42" s="25" t="s">
        <v>112</v>
      </c>
      <c r="B42" s="30">
        <f>'Schedule 11 - Non-Operating'!B32</f>
        <v>0</v>
      </c>
      <c r="C42" s="31" t="str">
        <f>IF(OR('Summary Op Stmt (Operators)'!$B$20=0,'Summary Op Stmt (Operators)'!$B$20=""),"",B42/'Summary Op Stmt (Operators)'!$B$20)</f>
        <v/>
      </c>
      <c r="D42" s="30">
        <f>'Schedule 11 - Non-Operating'!D32</f>
        <v>0</v>
      </c>
      <c r="E42" s="31" t="str">
        <f>IF(OR('Summary Op Stmt (Operators)'!$D$20=0,'Summary Op Stmt (Operators)'!$D$20=""),"",D42/'Summary Op Stmt (Operators)'!$D$20)</f>
        <v/>
      </c>
      <c r="F42" s="30">
        <f>'Schedule 11 - Non-Operating'!F32</f>
        <v>0</v>
      </c>
      <c r="G42" s="31" t="str">
        <f>IF(OR('Summary Op Stmt (Operators)'!$F$20=0,'Summary Op Stmt (Operators)'!$F$20=""),"",F42/'Summary Op Stmt (Operators)'!$F$20)</f>
        <v/>
      </c>
      <c r="H42" s="30">
        <f>'Schedule 11 - Non-Operating'!H32</f>
        <v>0</v>
      </c>
      <c r="I42" s="31" t="str">
        <f>IF(OR('Summary Op Stmt (Operators)'!$H$20=0,'Summary Op Stmt (Operators)'!$H$20=""),"",H42/'Summary Op Stmt (Operators)'!$H$20)</f>
        <v/>
      </c>
      <c r="J42" s="30">
        <f>'Schedule 11 - Non-Operating'!J32</f>
        <v>0</v>
      </c>
      <c r="K42" s="31" t="str">
        <f>IF(OR('Summary Op Stmt (Operators)'!$J$20=0,'Summary Op Stmt (Operators)'!$J$20=""),"",J42/'Summary Op Stmt (Operators)'!$J$20)</f>
        <v/>
      </c>
      <c r="L42" s="30">
        <f>'Schedule 11 - Non-Operating'!L32</f>
        <v>0</v>
      </c>
      <c r="M42" s="31" t="str">
        <f>IF(OR('Summary Op Stmt (Operators)'!$L$20=0,'Summary Op Stmt (Operators)'!$L$20=""),"",L42/'Summary Op Stmt (Operators)'!$L$20)</f>
        <v/>
      </c>
    </row>
    <row r="43" spans="1:13" x14ac:dyDescent="0.2">
      <c r="A43" s="35" t="s">
        <v>113</v>
      </c>
      <c r="B43" s="36">
        <f>B39+B40+B41+B42-B38</f>
        <v>0</v>
      </c>
      <c r="C43" s="37" t="str">
        <f>IF(OR('Summary Op Stmt (Operators)'!$B$20=0,'Summary Op Stmt (Operators)'!$B$20=""),"",B43/'Summary Op Stmt (Operators)'!$B$20)</f>
        <v/>
      </c>
      <c r="D43" s="36">
        <f>D39+D40+D41+D42-D38</f>
        <v>0</v>
      </c>
      <c r="E43" s="37" t="str">
        <f>IF(OR('Summary Op Stmt (Operators)'!$D$20=0,'Summary Op Stmt (Operators)'!$D$20=""),"",D43/'Summary Op Stmt (Operators)'!$D$20)</f>
        <v/>
      </c>
      <c r="F43" s="36">
        <f>F39+F40+F41+F42-F38</f>
        <v>0</v>
      </c>
      <c r="G43" s="37" t="str">
        <f>IF(OR('Summary Op Stmt (Operators)'!$F$20=0,'Summary Op Stmt (Operators)'!$F$20=""),"",F43/'Summary Op Stmt (Operators)'!$F$20)</f>
        <v/>
      </c>
      <c r="H43" s="36">
        <f>H39+H40+H41+H42-H38</f>
        <v>0</v>
      </c>
      <c r="I43" s="37" t="str">
        <f>IF(OR('Summary Op Stmt (Operators)'!$H$20=0,'Summary Op Stmt (Operators)'!$H$20=""),"",H43/'Summary Op Stmt (Operators)'!$H$20)</f>
        <v/>
      </c>
      <c r="J43" s="36">
        <f>J39+J40+J41+J42-J38</f>
        <v>0</v>
      </c>
      <c r="K43" s="37" t="str">
        <f>IF(OR('Summary Op Stmt (Operators)'!$J$20=0,'Summary Op Stmt (Operators)'!$J$20=""),"",J43/'Summary Op Stmt (Operators)'!$J$20)</f>
        <v/>
      </c>
      <c r="L43" s="36">
        <f>L39+L40+L41+L42-L38</f>
        <v>0</v>
      </c>
      <c r="M43" s="37" t="str">
        <f>IF(OR('Summary Op Stmt (Operators)'!$L$20=0,'Summary Op Stmt (Operators)'!$L$20=""),"",L43/'Summary Op Stmt (Operators)'!$L$20)</f>
        <v/>
      </c>
    </row>
    <row r="44" spans="1:13" x14ac:dyDescent="0.2">
      <c r="A44" s="32" t="s">
        <v>114</v>
      </c>
      <c r="B44" s="33">
        <f>B36-B43</f>
        <v>0</v>
      </c>
      <c r="C44" s="34" t="str">
        <f>IF(OR('Summary Op Stmt (Operators)'!$B$20=0,'Summary Op Stmt (Operators)'!$B$20=""),"",B44/'Summary Op Stmt (Operators)'!$B$20)</f>
        <v/>
      </c>
      <c r="D44" s="33">
        <f>D36-D43</f>
        <v>0</v>
      </c>
      <c r="E44" s="34" t="str">
        <f>IF(OR('Summary Op Stmt (Operators)'!$D$20=0,'Summary Op Stmt (Operators)'!$D$20=""),"",D44/'Summary Op Stmt (Operators)'!$D$20)</f>
        <v/>
      </c>
      <c r="F44" s="33">
        <f>F36-F43</f>
        <v>0</v>
      </c>
      <c r="G44" s="34" t="str">
        <f>IF(OR('Summary Op Stmt (Operators)'!$F$20=0,'Summary Op Stmt (Operators)'!$F$20=""),"",F44/'Summary Op Stmt (Operators)'!$F$20)</f>
        <v/>
      </c>
      <c r="H44" s="33">
        <f>H36-H43</f>
        <v>0</v>
      </c>
      <c r="I44" s="34" t="str">
        <f>IF(OR('Summary Op Stmt (Operators)'!$H$20=0,'Summary Op Stmt (Operators)'!$H$20=""),"",H44/'Summary Op Stmt (Operators)'!$H$20)</f>
        <v/>
      </c>
      <c r="J44" s="33">
        <f>J36-J43</f>
        <v>0</v>
      </c>
      <c r="K44" s="34" t="str">
        <f>IF(OR('Summary Op Stmt (Operators)'!$J$20=0,'Summary Op Stmt (Operators)'!$J$20=""),"",J44/'Summary Op Stmt (Operators)'!$J$20)</f>
        <v/>
      </c>
      <c r="L44" s="33">
        <f>L36-L43</f>
        <v>0</v>
      </c>
      <c r="M44" s="34" t="str">
        <f>IF(OR('Summary Op Stmt (Operators)'!$L$20=0,'Summary Op Stmt (Operators)'!$L$20=""),"",L44/'Summary Op Stmt (Operators)'!$L$20)</f>
        <v/>
      </c>
    </row>
    <row r="45" spans="1:13" x14ac:dyDescent="0.2">
      <c r="A45" s="25" t="s">
        <v>115</v>
      </c>
      <c r="B45" s="26"/>
      <c r="C45" s="31" t="str">
        <f>IF(OR('Summary Op Stmt (Operators)'!$B$20=0,'Summary Op Stmt (Operators)'!$B$20=""),"",B45/'Summary Op Stmt (Operators)'!$B$20)</f>
        <v/>
      </c>
      <c r="D45" s="26"/>
      <c r="E45" s="31" t="str">
        <f>IF(OR('Summary Op Stmt (Operators)'!$D$20=0,'Summary Op Stmt (Operators)'!$D$20=""),"",D45/'Summary Op Stmt (Operators)'!$D$20)</f>
        <v/>
      </c>
      <c r="F45" s="26"/>
      <c r="G45" s="31" t="str">
        <f>IF(OR('Summary Op Stmt (Operators)'!$F$20=0,'Summary Op Stmt (Operators)'!$F$20=""),"",F45/'Summary Op Stmt (Operators)'!$F$20)</f>
        <v/>
      </c>
      <c r="H45" s="26"/>
      <c r="I45" s="31" t="str">
        <f>IF(OR('Summary Op Stmt (Operators)'!$H$20=0,'Summary Op Stmt (Operators)'!$H$20=""),"",H45/'Summary Op Stmt (Operators)'!$H$20)</f>
        <v/>
      </c>
      <c r="J45" s="26"/>
      <c r="K45" s="31" t="str">
        <f>IF(OR('Summary Op Stmt (Operators)'!$J$20=0,'Summary Op Stmt (Operators)'!$J$20=""),"",J45/'Summary Op Stmt (Operators)'!$J$20)</f>
        <v/>
      </c>
      <c r="L45" s="26"/>
      <c r="M45" s="31" t="str">
        <f>IF(OR('Summary Op Stmt (Operators)'!$L$20=0,'Summary Op Stmt (Operators)'!$L$20=""),"",L45/'Summary Op Stmt (Operators)'!$L$20)</f>
        <v/>
      </c>
    </row>
    <row r="46" spans="1:13" x14ac:dyDescent="0.2">
      <c r="A46" s="38" t="s">
        <v>116</v>
      </c>
      <c r="B46" s="39">
        <f>B44-B45</f>
        <v>0</v>
      </c>
      <c r="C46" s="40" t="str">
        <f>IF(OR('Summary Op Stmt (Operators)'!$B$20=0,'Summary Op Stmt (Operators)'!$B$20=""),"",B46/'Summary Op Stmt (Operators)'!$B$20)</f>
        <v/>
      </c>
      <c r="D46" s="39">
        <f>D44-D45</f>
        <v>0</v>
      </c>
      <c r="E46" s="40" t="str">
        <f>IF(OR('Summary Op Stmt (Operators)'!$D$20=0,'Summary Op Stmt (Operators)'!$D$20=""),"",D46/'Summary Op Stmt (Operators)'!$D$20)</f>
        <v/>
      </c>
      <c r="F46" s="39">
        <f>F44-F45</f>
        <v>0</v>
      </c>
      <c r="G46" s="40" t="str">
        <f>IF(OR('Summary Op Stmt (Operators)'!$F$20=0,'Summary Op Stmt (Operators)'!$F$20=""),"",F46/'Summary Op Stmt (Operators)'!$F$20)</f>
        <v/>
      </c>
      <c r="H46" s="39">
        <f>H44-H45</f>
        <v>0</v>
      </c>
      <c r="I46" s="40" t="str">
        <f>IF(OR('Summary Op Stmt (Operators)'!$H$20=0,'Summary Op Stmt (Operators)'!$H$20=""),"",H46/'Summary Op Stmt (Operators)'!$H$20)</f>
        <v/>
      </c>
      <c r="J46" s="39">
        <f>J44-J45</f>
        <v>0</v>
      </c>
      <c r="K46" s="40" t="str">
        <f>IF(OR('Summary Op Stmt (Operators)'!$J$20=0,'Summary Op Stmt (Operators)'!$J$20=""),"",J46/'Summary Op Stmt (Operators)'!$J$20)</f>
        <v/>
      </c>
      <c r="L46" s="39">
        <f>L44-L45</f>
        <v>0</v>
      </c>
      <c r="M46" s="40" t="str">
        <f>IF(OR('Summary Op Stmt (Operators)'!$L$20=0,'Summary Op Stmt (Operators)'!$L$20=""),"",L46/'Summary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M52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118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82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83</v>
      </c>
      <c r="B8" s="26"/>
      <c r="D8" s="26"/>
      <c r="F8" s="26"/>
      <c r="H8" s="26"/>
      <c r="J8" s="26"/>
      <c r="L8" s="26"/>
    </row>
    <row r="9" spans="1:13" x14ac:dyDescent="0.2">
      <c r="A9" s="25" t="s">
        <v>84</v>
      </c>
      <c r="B9" s="26"/>
      <c r="D9" s="26"/>
      <c r="F9" s="26"/>
      <c r="H9" s="26"/>
      <c r="J9" s="26"/>
      <c r="L9" s="26"/>
    </row>
    <row r="10" spans="1:13" x14ac:dyDescent="0.2">
      <c r="A10" s="25" t="s">
        <v>85</v>
      </c>
      <c r="B10" s="27" t="str">
        <f>IF(B8=0,"",B9/B8)</f>
        <v/>
      </c>
      <c r="D10" s="27" t="str">
        <f>IF(D8=0,"",D9/D8)</f>
        <v/>
      </c>
      <c r="F10" s="27" t="str">
        <f>IF(F8=0,"",F9/F8)</f>
        <v/>
      </c>
      <c r="H10" s="27" t="str">
        <f>IF(H8=0,"",H9/H8)</f>
        <v/>
      </c>
      <c r="J10" s="27" t="str">
        <f>IF(J8=0,"",J9/J8)</f>
        <v/>
      </c>
      <c r="L10" s="27" t="str">
        <f>IF(L8=0,"",L9/L8)</f>
        <v/>
      </c>
    </row>
    <row r="11" spans="1:13" x14ac:dyDescent="0.2">
      <c r="A11" s="25" t="s">
        <v>86</v>
      </c>
      <c r="B11" s="28" t="str">
        <f>IF(B9=0,"",B16/B9)</f>
        <v/>
      </c>
      <c r="D11" s="28" t="str">
        <f>IF(D9=0,"",D16/D9)</f>
        <v/>
      </c>
      <c r="F11" s="28" t="str">
        <f>IF(F9=0,"",F16/F9)</f>
        <v/>
      </c>
      <c r="H11" s="28" t="str">
        <f>IF(H9=0,"",H16/H9)</f>
        <v/>
      </c>
      <c r="J11" s="28" t="str">
        <f>IF(J9=0,"",J16/J9)</f>
        <v/>
      </c>
      <c r="L11" s="28" t="str">
        <f>IF(L9=0,"",L16/L9)</f>
        <v/>
      </c>
    </row>
    <row r="12" spans="1:13" x14ac:dyDescent="0.2">
      <c r="A12" s="25" t="s">
        <v>87</v>
      </c>
      <c r="B12" s="28" t="str">
        <f>IF(B8=0,"",B16/B8)</f>
        <v/>
      </c>
      <c r="D12" s="28" t="str">
        <f>IF(D8=0,"",D16/D8)</f>
        <v/>
      </c>
      <c r="F12" s="28" t="str">
        <f>IF(F8=0,"",F16/F8)</f>
        <v/>
      </c>
      <c r="H12" s="28" t="str">
        <f>IF(H8=0,"",H16/H8)</f>
        <v/>
      </c>
      <c r="J12" s="28" t="str">
        <f>IF(J8=0,"",J16/J8)</f>
        <v/>
      </c>
      <c r="L12" s="28" t="str">
        <f>IF(L8=0,"",L16/L8)</f>
        <v/>
      </c>
    </row>
    <row r="13" spans="1:13" x14ac:dyDescent="0.2">
      <c r="A13" s="25" t="s">
        <v>88</v>
      </c>
      <c r="B13" s="28" t="str">
        <f>IF(B8=0,"",B20/B8)</f>
        <v/>
      </c>
      <c r="D13" s="28" t="str">
        <f>IF(D8=0,"",D20/D8)</f>
        <v/>
      </c>
      <c r="F13" s="28" t="str">
        <f>IF(F8=0,"",F20/F8)</f>
        <v/>
      </c>
      <c r="H13" s="28" t="str">
        <f>IF(H8=0,"",H20/H8)</f>
        <v/>
      </c>
      <c r="J13" s="28" t="str">
        <f>IF(J8=0,"",J20/J8)</f>
        <v/>
      </c>
      <c r="L13" s="28" t="str">
        <f>IF(L8=0,"",L20/L8)</f>
        <v/>
      </c>
    </row>
    <row r="14" spans="1:13" x14ac:dyDescent="0.2">
      <c r="A14" s="29"/>
    </row>
    <row r="15" spans="1:13" x14ac:dyDescent="0.2">
      <c r="A15" s="23" t="s">
        <v>89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2">
      <c r="A16" s="25" t="s">
        <v>90</v>
      </c>
      <c r="B16" s="30">
        <f>'Schedule 1 - Rooms'!B25</f>
        <v>0</v>
      </c>
      <c r="C16" s="31" t="str">
        <f>IF(OR('Summary Op Stmt (Operators)'!$B$20=0,'Summary Op Stmt (Operators)'!$B$20=""),"",B16/'Summary Op Stmt (Operators)'!$B$20)</f>
        <v/>
      </c>
      <c r="D16" s="30">
        <f>'Schedule 1 - Rooms'!D25</f>
        <v>0</v>
      </c>
      <c r="E16" s="31" t="str">
        <f>IF(OR('Summary Op Stmt (Operators)'!$D$20=0,'Summary Op Stmt (Operators)'!$D$20=""),"",D16/'Summary Op Stmt (Operators)'!$D$20)</f>
        <v/>
      </c>
      <c r="F16" s="30">
        <f>'Schedule 1 - Rooms'!F25</f>
        <v>0</v>
      </c>
      <c r="G16" s="31" t="str">
        <f>IF(OR('Summary Op Stmt (Operators)'!$F$20=0,'Summary Op Stmt (Operators)'!$F$20=""),"",F16/'Summary Op Stmt (Operators)'!$F$20)</f>
        <v/>
      </c>
      <c r="H16" s="30">
        <f>'Schedule 1 - Rooms'!H25</f>
        <v>0</v>
      </c>
      <c r="I16" s="31" t="str">
        <f>IF(OR('Summary Op Stmt (Operators)'!$H$20=0,'Summary Op Stmt (Operators)'!$H$20=""),"",H16/'Summary Op Stmt (Operators)'!$H$20)</f>
        <v/>
      </c>
      <c r="J16" s="30">
        <f>'Schedule 1 - Rooms'!J25</f>
        <v>0</v>
      </c>
      <c r="K16" s="31" t="str">
        <f>IF(OR('Summary Op Stmt (Operators)'!$J$20=0,'Summary Op Stmt (Operators)'!$J$20=""),"",J16/'Summary Op Stmt (Operators)'!$J$20)</f>
        <v/>
      </c>
      <c r="L16" s="30">
        <f>'Schedule 1 - Rooms'!L25</f>
        <v>0</v>
      </c>
      <c r="M16" s="31" t="str">
        <f>IF(OR('Summary Op Stmt (Operators)'!$L$20=0,'Summary Op Stmt (Operators)'!$L$20=""),"",L16/'Summary Op Stmt (Operators)'!$L$20)</f>
        <v/>
      </c>
    </row>
    <row r="17" spans="1:13" x14ac:dyDescent="0.2">
      <c r="A17" s="25" t="s">
        <v>91</v>
      </c>
      <c r="B17" s="30">
        <f>'Schedule 2 - Food &amp; Beverage'!B32</f>
        <v>0</v>
      </c>
      <c r="C17" s="31" t="str">
        <f>IF(OR('Summary Op Stmt (Operators)'!$B$20=0,'Summary Op Stmt (Operators)'!$B$20=""),"",B17/'Summary Op Stmt (Operators)'!$B$20)</f>
        <v/>
      </c>
      <c r="D17" s="30">
        <f>'Schedule 2 - Food &amp; Beverage'!D32</f>
        <v>0</v>
      </c>
      <c r="E17" s="31" t="str">
        <f>IF(OR('Summary Op Stmt (Operators)'!$D$20=0,'Summary Op Stmt (Operators)'!$D$20=""),"",D17/'Summary Op Stmt (Operators)'!$D$20)</f>
        <v/>
      </c>
      <c r="F17" s="30">
        <f>'Schedule 2 - Food &amp; Beverage'!F32</f>
        <v>0</v>
      </c>
      <c r="G17" s="31" t="str">
        <f>IF(OR('Summary Op Stmt (Operators)'!$F$20=0,'Summary Op Stmt (Operators)'!$F$20=""),"",F17/'Summary Op Stmt (Operators)'!$F$20)</f>
        <v/>
      </c>
      <c r="H17" s="30">
        <f>'Schedule 2 - Food &amp; Beverage'!H32</f>
        <v>0</v>
      </c>
      <c r="I17" s="31" t="str">
        <f>IF(OR('Summary Op Stmt (Operators)'!$H$20=0,'Summary Op Stmt (Operators)'!$H$20=""),"",H17/'Summary Op Stmt (Operators)'!$H$20)</f>
        <v/>
      </c>
      <c r="J17" s="30">
        <f>'Schedule 2 - Food &amp; Beverage'!J32</f>
        <v>0</v>
      </c>
      <c r="K17" s="31" t="str">
        <f>IF(OR('Summary Op Stmt (Operators)'!$J$20=0,'Summary Op Stmt (Operators)'!$J$20=""),"",J17/'Summary Op Stmt (Operators)'!$J$20)</f>
        <v/>
      </c>
      <c r="L17" s="30">
        <f>'Schedule 2 - Food &amp; Beverage'!L32</f>
        <v>0</v>
      </c>
      <c r="M17" s="31" t="str">
        <f>IF(OR('Summary Op Stmt (Operators)'!$L$20=0,'Summary Op Stmt (Operators)'!$L$20=""),"",L17/'Summary Op Stmt (Operators)'!$L$20)</f>
        <v/>
      </c>
    </row>
    <row r="18" spans="1:13" x14ac:dyDescent="0.2">
      <c r="A18" s="25" t="s">
        <v>92</v>
      </c>
      <c r="B18" s="30">
        <f>'Schedule 3 - Other Op Depts'!B13</f>
        <v>0</v>
      </c>
      <c r="C18" s="31" t="str">
        <f>IF(OR('Summary Op Stmt (Operators)'!$B$20=0,'Summary Op Stmt (Operators)'!$B$20=""),"",B18/'Summary Op Stmt (Operators)'!$B$20)</f>
        <v/>
      </c>
      <c r="D18" s="30">
        <f>'Schedule 3 - Other Op Depts'!D13</f>
        <v>0</v>
      </c>
      <c r="E18" s="31" t="str">
        <f>IF(OR('Summary Op Stmt (Operators)'!$D$20=0,'Summary Op Stmt (Operators)'!$D$20=""),"",D18/'Summary Op Stmt (Operators)'!$D$20)</f>
        <v/>
      </c>
      <c r="F18" s="30">
        <f>'Schedule 3 - Other Op Depts'!F13</f>
        <v>0</v>
      </c>
      <c r="G18" s="31" t="str">
        <f>IF(OR('Summary Op Stmt (Operators)'!$F$20=0,'Summary Op Stmt (Operators)'!$F$20=""),"",F18/'Summary Op Stmt (Operators)'!$F$20)</f>
        <v/>
      </c>
      <c r="H18" s="30">
        <f>'Schedule 3 - Other Op Depts'!H13</f>
        <v>0</v>
      </c>
      <c r="I18" s="31" t="str">
        <f>IF(OR('Summary Op Stmt (Operators)'!$H$20=0,'Summary Op Stmt (Operators)'!$H$20=""),"",H18/'Summary Op Stmt (Operators)'!$H$20)</f>
        <v/>
      </c>
      <c r="J18" s="30">
        <f>'Schedule 3 - Other Op Depts'!J13</f>
        <v>0</v>
      </c>
      <c r="K18" s="31" t="str">
        <f>IF(OR('Summary Op Stmt (Operators)'!$J$20=0,'Summary Op Stmt (Operators)'!$J$20=""),"",J18/'Summary Op Stmt (Operators)'!$J$20)</f>
        <v/>
      </c>
      <c r="L18" s="30">
        <f>'Schedule 3 - Other Op Depts'!L13</f>
        <v>0</v>
      </c>
      <c r="M18" s="31" t="str">
        <f>IF(OR('Summary Op Stmt (Operators)'!$L$20=0,'Summary Op Stmt (Operators)'!$L$20=""),"",L18/'Summary Op Stmt (Operators)'!$L$20)</f>
        <v/>
      </c>
    </row>
    <row r="19" spans="1:13" x14ac:dyDescent="0.2">
      <c r="A19" s="25" t="s">
        <v>93</v>
      </c>
      <c r="B19" s="30">
        <f>'Schedule 4 - Misc Income'!B22</f>
        <v>0</v>
      </c>
      <c r="C19" s="31" t="str">
        <f>IF(OR('Summary Op Stmt (Operators)'!$B$20=0,'Summary Op Stmt (Operators)'!$B$20=""),"",B19/'Summary Op Stmt (Operators)'!$B$20)</f>
        <v/>
      </c>
      <c r="D19" s="30">
        <f>'Schedule 4 - Misc Income'!D22</f>
        <v>0</v>
      </c>
      <c r="E19" s="31" t="str">
        <f>IF(OR('Summary Op Stmt (Operators)'!$D$20=0,'Summary Op Stmt (Operators)'!$D$20=""),"",D19/'Summary Op Stmt (Operators)'!$D$20)</f>
        <v/>
      </c>
      <c r="F19" s="30">
        <f>'Schedule 4 - Misc Income'!F22</f>
        <v>0</v>
      </c>
      <c r="G19" s="31" t="str">
        <f>IF(OR('Summary Op Stmt (Operators)'!$F$20=0,'Summary Op Stmt (Operators)'!$F$20=""),"",F19/'Summary Op Stmt (Operators)'!$F$20)</f>
        <v/>
      </c>
      <c r="H19" s="30">
        <f>'Schedule 4 - Misc Income'!H22</f>
        <v>0</v>
      </c>
      <c r="I19" s="31" t="str">
        <f>IF(OR('Summary Op Stmt (Operators)'!$H$20=0,'Summary Op Stmt (Operators)'!$H$20=""),"",H19/'Summary Op Stmt (Operators)'!$H$20)</f>
        <v/>
      </c>
      <c r="J19" s="30">
        <f>'Schedule 4 - Misc Income'!J22</f>
        <v>0</v>
      </c>
      <c r="K19" s="31" t="str">
        <f>IF(OR('Summary Op Stmt (Operators)'!$J$20=0,'Summary Op Stmt (Operators)'!$J$20=""),"",J19/'Summary Op Stmt (Operators)'!$J$20)</f>
        <v/>
      </c>
      <c r="L19" s="30">
        <f>'Schedule 4 - Misc Income'!L22</f>
        <v>0</v>
      </c>
      <c r="M19" s="31" t="str">
        <f>IF(OR('Summary Op Stmt (Operators)'!$L$20=0,'Summary Op Stmt (Operators)'!$L$20=""),"",L19/'Summary Op Stmt (Operators)'!$L$20)</f>
        <v/>
      </c>
    </row>
    <row r="20" spans="1:13" x14ac:dyDescent="0.2">
      <c r="A20" s="32" t="s">
        <v>94</v>
      </c>
      <c r="B20" s="33">
        <f>B16+B17+B18+B19</f>
        <v>0</v>
      </c>
      <c r="C20" s="34" t="str">
        <f>IF(OR('Summary Op Stmt (Operators)'!$B$20=0,'Summary Op Stmt (Operators)'!$B$20=""),"",B20/'Summary Op Stmt (Operators)'!$B$20)</f>
        <v/>
      </c>
      <c r="D20" s="33">
        <f>D16+D17+D18+D19</f>
        <v>0</v>
      </c>
      <c r="E20" s="34" t="str">
        <f>IF(OR('Summary Op Stmt (Operators)'!$D$20=0,'Summary Op Stmt (Operators)'!$D$20=""),"",D20/'Summary Op Stmt (Operators)'!$D$20)</f>
        <v/>
      </c>
      <c r="F20" s="33">
        <f>F16+F17+F18+F19</f>
        <v>0</v>
      </c>
      <c r="G20" s="34" t="str">
        <f>IF(OR('Summary Op Stmt (Operators)'!$F$20=0,'Summary Op Stmt (Operators)'!$F$20=""),"",F20/'Summary Op Stmt (Operators)'!$F$20)</f>
        <v/>
      </c>
      <c r="H20" s="33">
        <f>H16+H17+H18+H19</f>
        <v>0</v>
      </c>
      <c r="I20" s="34" t="str">
        <f>IF(OR('Summary Op Stmt (Operators)'!$H$20=0,'Summary Op Stmt (Operators)'!$H$20=""),"",H20/'Summary Op Stmt (Operators)'!$H$20)</f>
        <v/>
      </c>
      <c r="J20" s="33">
        <f>J16+J17+J18+J19</f>
        <v>0</v>
      </c>
      <c r="K20" s="34" t="str">
        <f>IF(OR('Summary Op Stmt (Operators)'!$J$20=0,'Summary Op Stmt (Operators)'!$J$20=""),"",J20/'Summary Op Stmt (Operators)'!$J$20)</f>
        <v/>
      </c>
      <c r="L20" s="33">
        <f>L16+L17+L18+L19</f>
        <v>0</v>
      </c>
      <c r="M20" s="34" t="str">
        <f>IF(OR('Summary Op Stmt (Operators)'!$L$20=0,'Summary Op Stmt (Operators)'!$L$20=""),"",L20/'Summary Op Stmt (Operators)'!$L$20)</f>
        <v/>
      </c>
    </row>
    <row r="21" spans="1:13" x14ac:dyDescent="0.2">
      <c r="A21" s="23" t="s">
        <v>95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2">
      <c r="A22" s="25" t="s">
        <v>90</v>
      </c>
      <c r="B22" s="30">
        <f>'Schedule 1 - Rooms'!B81</f>
        <v>0</v>
      </c>
      <c r="C22" s="31" t="str">
        <f>IF(OR(B16=0,B16=""),"",B22/B16)</f>
        <v/>
      </c>
      <c r="D22" s="30">
        <f>'Schedule 1 - Rooms'!D81</f>
        <v>0</v>
      </c>
      <c r="E22" s="31" t="str">
        <f>IF(OR(D16=0,D16=""),"",D22/D16)</f>
        <v/>
      </c>
      <c r="F22" s="30">
        <f>'Schedule 1 - Rooms'!F81</f>
        <v>0</v>
      </c>
      <c r="G22" s="31" t="str">
        <f>IF(OR(F16=0,F16=""),"",F22/F16)</f>
        <v/>
      </c>
      <c r="H22" s="30">
        <f>'Schedule 1 - Rooms'!H81</f>
        <v>0</v>
      </c>
      <c r="I22" s="31" t="str">
        <f>IF(OR(H16=0,H16=""),"",H22/H16)</f>
        <v/>
      </c>
      <c r="J22" s="30">
        <f>'Schedule 1 - Rooms'!J81</f>
        <v>0</v>
      </c>
      <c r="K22" s="31" t="str">
        <f>IF(OR(J16=0,J16=""),"",J22/J16)</f>
        <v/>
      </c>
      <c r="L22" s="30">
        <f>'Schedule 1 - Rooms'!L81</f>
        <v>0</v>
      </c>
      <c r="M22" s="31" t="str">
        <f>IF(OR(L16=0,L16=""),"",L22/L16)</f>
        <v/>
      </c>
    </row>
    <row r="23" spans="1:13" x14ac:dyDescent="0.2">
      <c r="A23" s="25" t="s">
        <v>91</v>
      </c>
      <c r="B23" s="30">
        <f>'Schedule 2 - Food &amp; Beverage'!B42+'Schedule 2 - Food &amp; Beverage'!B105</f>
        <v>0</v>
      </c>
      <c r="C23" s="31" t="str">
        <f>IF(OR(B17=0,B17=""),"",B23/B17)</f>
        <v/>
      </c>
      <c r="D23" s="30">
        <f>'Schedule 2 - Food &amp; Beverage'!D42+'Schedule 2 - Food &amp; Beverage'!D105</f>
        <v>0</v>
      </c>
      <c r="E23" s="31" t="str">
        <f>IF(OR(D17=0,D17=""),"",D23/D17)</f>
        <v/>
      </c>
      <c r="F23" s="30">
        <f>'Schedule 2 - Food &amp; Beverage'!F42+'Schedule 2 - Food &amp; Beverage'!F105</f>
        <v>0</v>
      </c>
      <c r="G23" s="31" t="str">
        <f>IF(OR(F17=0,F17=""),"",F23/F17)</f>
        <v/>
      </c>
      <c r="H23" s="30">
        <f>'Schedule 2 - Food &amp; Beverage'!H42+'Schedule 2 - Food &amp; Beverage'!H105</f>
        <v>0</v>
      </c>
      <c r="I23" s="31" t="str">
        <f>IF(OR(H17=0,H17=""),"",H23/H17)</f>
        <v/>
      </c>
      <c r="J23" s="30">
        <f>'Schedule 2 - Food &amp; Beverage'!J42+'Schedule 2 - Food &amp; Beverage'!J105</f>
        <v>0</v>
      </c>
      <c r="K23" s="31" t="str">
        <f>IF(OR(J17=0,J17=""),"",J23/J17)</f>
        <v/>
      </c>
      <c r="L23" s="30">
        <f>'Schedule 2 - Food &amp; Beverage'!L42+'Schedule 2 - Food &amp; Beverage'!L105</f>
        <v>0</v>
      </c>
      <c r="M23" s="31" t="str">
        <f>IF(OR(L17=0,L17=""),"",L23/L17)</f>
        <v/>
      </c>
    </row>
    <row r="24" spans="1:13" x14ac:dyDescent="0.2">
      <c r="A24" s="25" t="s">
        <v>92</v>
      </c>
      <c r="B24" s="30">
        <f>'Schedule 3 - Other Op Depts'!B20</f>
        <v>0</v>
      </c>
      <c r="C24" s="31" t="str">
        <f>IF(OR(B18=0,B18=""),"",B24/B18)</f>
        <v/>
      </c>
      <c r="D24" s="30">
        <f>'Schedule 3 - Other Op Depts'!D20</f>
        <v>0</v>
      </c>
      <c r="E24" s="31" t="str">
        <f>IF(OR(D18=0,D18=""),"",D24/D18)</f>
        <v/>
      </c>
      <c r="F24" s="30">
        <f>'Schedule 3 - Other Op Depts'!F20</f>
        <v>0</v>
      </c>
      <c r="G24" s="31" t="str">
        <f>IF(OR(F18=0,F18=""),"",F24/F18)</f>
        <v/>
      </c>
      <c r="H24" s="30">
        <f>'Schedule 3 - Other Op Depts'!H20</f>
        <v>0</v>
      </c>
      <c r="I24" s="31" t="str">
        <f>IF(OR(H18=0,H18=""),"",H24/H18)</f>
        <v/>
      </c>
      <c r="J24" s="30">
        <f>'Schedule 3 - Other Op Depts'!J20</f>
        <v>0</v>
      </c>
      <c r="K24" s="31" t="str">
        <f>IF(OR(J18=0,J18=""),"",J24/J18)</f>
        <v/>
      </c>
      <c r="L24" s="30">
        <f>'Schedule 3 - Other Op Depts'!L20</f>
        <v>0</v>
      </c>
      <c r="M24" s="31" t="str">
        <f>IF(OR(L18=0,L18=""),"",L24/L18)</f>
        <v/>
      </c>
    </row>
    <row r="25" spans="1:13" x14ac:dyDescent="0.2">
      <c r="A25" s="32" t="s">
        <v>96</v>
      </c>
      <c r="B25" s="33">
        <f>B22+B23+B24</f>
        <v>0</v>
      </c>
      <c r="C25" s="34" t="str">
        <f>IF(OR('Summary Op Stmt (Operators)'!$B$20=0,'Summary Op Stmt (Operators)'!$B$20=""),"",B25/'Summary Op Stmt (Operators)'!$B$20)</f>
        <v/>
      </c>
      <c r="D25" s="33">
        <f>D22+D23+D24</f>
        <v>0</v>
      </c>
      <c r="E25" s="34" t="str">
        <f>IF(OR('Summary Op Stmt (Operators)'!$D$20=0,'Summary Op Stmt (Operators)'!$D$20=""),"",D25/'Summary Op Stmt (Operators)'!$D$20)</f>
        <v/>
      </c>
      <c r="F25" s="33">
        <f>F22+F23+F24</f>
        <v>0</v>
      </c>
      <c r="G25" s="34" t="str">
        <f>IF(OR('Summary Op Stmt (Operators)'!$F$20=0,'Summary Op Stmt (Operators)'!$F$20=""),"",F25/'Summary Op Stmt (Operators)'!$F$20)</f>
        <v/>
      </c>
      <c r="H25" s="33">
        <f>H22+H23+H24</f>
        <v>0</v>
      </c>
      <c r="I25" s="34" t="str">
        <f>IF(OR('Summary Op Stmt (Operators)'!$H$20=0,'Summary Op Stmt (Operators)'!$H$20=""),"",H25/'Summary Op Stmt (Operators)'!$H$20)</f>
        <v/>
      </c>
      <c r="J25" s="33">
        <f>J22+J23+J24</f>
        <v>0</v>
      </c>
      <c r="K25" s="34" t="str">
        <f>IF(OR('Summary Op Stmt (Operators)'!$J$20=0,'Summary Op Stmt (Operators)'!$J$20=""),"",J25/'Summary Op Stmt (Operators)'!$J$20)</f>
        <v/>
      </c>
      <c r="L25" s="33">
        <f>L22+L23+L24</f>
        <v>0</v>
      </c>
      <c r="M25" s="34" t="str">
        <f>IF(OR('Summary Op Stmt (Operators)'!$L$20=0,'Summary Op Stmt (Operators)'!$L$20=""),"",L25/'Summary Op Stmt (Operators)'!$L$20)</f>
        <v/>
      </c>
    </row>
    <row r="26" spans="1:13" x14ac:dyDescent="0.2">
      <c r="A26" s="32" t="s">
        <v>97</v>
      </c>
      <c r="B26" s="33">
        <f>B20-B25</f>
        <v>0</v>
      </c>
      <c r="C26" s="34" t="str">
        <f>IF(OR('Summary Op Stmt (Operators)'!$B$20=0,'Summary Op Stmt (Operators)'!$B$20=""),"",B26/'Summary Op Stmt (Operators)'!$B$20)</f>
        <v/>
      </c>
      <c r="D26" s="33">
        <f>D20-D25</f>
        <v>0</v>
      </c>
      <c r="E26" s="34" t="str">
        <f>IF(OR('Summary Op Stmt (Operators)'!$D$20=0,'Summary Op Stmt (Operators)'!$D$20=""),"",D26/'Summary Op Stmt (Operators)'!$D$20)</f>
        <v/>
      </c>
      <c r="F26" s="33">
        <f>F20-F25</f>
        <v>0</v>
      </c>
      <c r="G26" s="34" t="str">
        <f>IF(OR('Summary Op Stmt (Operators)'!$F$20=0,'Summary Op Stmt (Operators)'!$F$20=""),"",F26/'Summary Op Stmt (Operators)'!$F$20)</f>
        <v/>
      </c>
      <c r="H26" s="33">
        <f>H20-H25</f>
        <v>0</v>
      </c>
      <c r="I26" s="34" t="str">
        <f>IF(OR('Summary Op Stmt (Operators)'!$H$20=0,'Summary Op Stmt (Operators)'!$H$20=""),"",H26/'Summary Op Stmt (Operators)'!$H$20)</f>
        <v/>
      </c>
      <c r="J26" s="33">
        <f>J20-J25</f>
        <v>0</v>
      </c>
      <c r="K26" s="34" t="str">
        <f>IF(OR('Summary Op Stmt (Operators)'!$J$20=0,'Summary Op Stmt (Operators)'!$J$20=""),"",J26/'Summary Op Stmt (Operators)'!$J$20)</f>
        <v/>
      </c>
      <c r="L26" s="33">
        <f>L20-L25</f>
        <v>0</v>
      </c>
      <c r="M26" s="34" t="str">
        <f>IF(OR('Summary Op Stmt (Operators)'!$L$20=0,'Summary Op Stmt (Operators)'!$L$20=""),"",L26/'Summary Op Stmt (Operators)'!$L$20)</f>
        <v/>
      </c>
    </row>
    <row r="27" spans="1:13" x14ac:dyDescent="0.2">
      <c r="A27" s="23" t="s">
        <v>98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2">
      <c r="A28" s="25" t="s">
        <v>99</v>
      </c>
      <c r="B28" s="30">
        <f>'Schedule 5 - Admin &amp; General'!B65</f>
        <v>0</v>
      </c>
      <c r="C28" s="31" t="str">
        <f>IF(OR('Summary Op Stmt (Operators)'!$B$20=0,'Summary Op Stmt (Operators)'!$B$20=""),"",B28/'Summary Op Stmt (Operators)'!$B$20)</f>
        <v/>
      </c>
      <c r="D28" s="30">
        <f>'Schedule 5 - Admin &amp; General'!D65</f>
        <v>0</v>
      </c>
      <c r="E28" s="31" t="str">
        <f>IF(OR('Summary Op Stmt (Operators)'!$D$20=0,'Summary Op Stmt (Operators)'!$D$20=""),"",D28/'Summary Op Stmt (Operators)'!$D$20)</f>
        <v/>
      </c>
      <c r="F28" s="30">
        <f>'Schedule 5 - Admin &amp; General'!F65</f>
        <v>0</v>
      </c>
      <c r="G28" s="31" t="str">
        <f>IF(OR('Summary Op Stmt (Operators)'!$F$20=0,'Summary Op Stmt (Operators)'!$F$20=""),"",F28/'Summary Op Stmt (Operators)'!$F$20)</f>
        <v/>
      </c>
      <c r="H28" s="30">
        <f>'Schedule 5 - Admin &amp; General'!H65</f>
        <v>0</v>
      </c>
      <c r="I28" s="31" t="str">
        <f>IF(OR('Summary Op Stmt (Operators)'!$H$20=0,'Summary Op Stmt (Operators)'!$H$20=""),"",H28/'Summary Op Stmt (Operators)'!$H$20)</f>
        <v/>
      </c>
      <c r="J28" s="30">
        <f>'Schedule 5 - Admin &amp; General'!J65</f>
        <v>0</v>
      </c>
      <c r="K28" s="31" t="str">
        <f>IF(OR('Summary Op Stmt (Operators)'!$J$20=0,'Summary Op Stmt (Operators)'!$J$20=""),"",J28/'Summary Op Stmt (Operators)'!$J$20)</f>
        <v/>
      </c>
      <c r="L28" s="30">
        <f>'Schedule 5 - Admin &amp; General'!L65</f>
        <v>0</v>
      </c>
      <c r="M28" s="31" t="str">
        <f>IF(OR('Summary Op Stmt (Operators)'!$L$20=0,'Summary Op Stmt (Operators)'!$L$20=""),"",L28/'Summary Op Stmt (Operators)'!$L$20)</f>
        <v/>
      </c>
    </row>
    <row r="29" spans="1:13" x14ac:dyDescent="0.2">
      <c r="A29" s="25" t="s">
        <v>100</v>
      </c>
      <c r="B29" s="30">
        <f>'Schedule 6 - Info &amp; Telecom'!B68</f>
        <v>0</v>
      </c>
      <c r="C29" s="31" t="str">
        <f>IF(OR('Summary Op Stmt (Operators)'!$B$20=0,'Summary Op Stmt (Operators)'!$B$20=""),"",B29/'Summary Op Stmt (Operators)'!$B$20)</f>
        <v/>
      </c>
      <c r="D29" s="30">
        <f>'Schedule 6 - Info &amp; Telecom'!D68</f>
        <v>0</v>
      </c>
      <c r="E29" s="31" t="str">
        <f>IF(OR('Summary Op Stmt (Operators)'!$D$20=0,'Summary Op Stmt (Operators)'!$D$20=""),"",D29/'Summary Op Stmt (Operators)'!$D$20)</f>
        <v/>
      </c>
      <c r="F29" s="30">
        <f>'Schedule 6 - Info &amp; Telecom'!F68</f>
        <v>0</v>
      </c>
      <c r="G29" s="31" t="str">
        <f>IF(OR('Summary Op Stmt (Operators)'!$F$20=0,'Summary Op Stmt (Operators)'!$F$20=""),"",F29/'Summary Op Stmt (Operators)'!$F$20)</f>
        <v/>
      </c>
      <c r="H29" s="30">
        <f>'Schedule 6 - Info &amp; Telecom'!H68</f>
        <v>0</v>
      </c>
      <c r="I29" s="31" t="str">
        <f>IF(OR('Summary Op Stmt (Operators)'!$H$20=0,'Summary Op Stmt (Operators)'!$H$20=""),"",H29/'Summary Op Stmt (Operators)'!$H$20)</f>
        <v/>
      </c>
      <c r="J29" s="30">
        <f>'Schedule 6 - Info &amp; Telecom'!J68</f>
        <v>0</v>
      </c>
      <c r="K29" s="31" t="str">
        <f>IF(OR('Summary Op Stmt (Operators)'!$J$20=0,'Summary Op Stmt (Operators)'!$J$20=""),"",J29/'Summary Op Stmt (Operators)'!$J$20)</f>
        <v/>
      </c>
      <c r="L29" s="30">
        <f>'Schedule 6 - Info &amp; Telecom'!L68</f>
        <v>0</v>
      </c>
      <c r="M29" s="31" t="str">
        <f>IF(OR('Summary Op Stmt (Operators)'!$L$20=0,'Summary Op Stmt (Operators)'!$L$20=""),"",L29/'Summary Op Stmt (Operators)'!$L$20)</f>
        <v/>
      </c>
    </row>
    <row r="30" spans="1:13" x14ac:dyDescent="0.2">
      <c r="A30" s="25" t="s">
        <v>101</v>
      </c>
      <c r="B30" s="30">
        <f>'Schedule 7 - Sales &amp; Marketing'!B57</f>
        <v>0</v>
      </c>
      <c r="C30" s="31" t="str">
        <f>IF(OR('Summary Op Stmt (Operators)'!$B$20=0,'Summary Op Stmt (Operators)'!$B$20=""),"",B30/'Summary Op Stmt (Operators)'!$B$20)</f>
        <v/>
      </c>
      <c r="D30" s="30">
        <f>'Schedule 7 - Sales &amp; Marketing'!D57</f>
        <v>0</v>
      </c>
      <c r="E30" s="31" t="str">
        <f>IF(OR('Summary Op Stmt (Operators)'!$D$20=0,'Summary Op Stmt (Operators)'!$D$20=""),"",D30/'Summary Op Stmt (Operators)'!$D$20)</f>
        <v/>
      </c>
      <c r="F30" s="30">
        <f>'Schedule 7 - Sales &amp; Marketing'!F57</f>
        <v>0</v>
      </c>
      <c r="G30" s="31" t="str">
        <f>IF(OR('Summary Op Stmt (Operators)'!$F$20=0,'Summary Op Stmt (Operators)'!$F$20=""),"",F30/'Summary Op Stmt (Operators)'!$F$20)</f>
        <v/>
      </c>
      <c r="H30" s="30">
        <f>'Schedule 7 - Sales &amp; Marketing'!H57</f>
        <v>0</v>
      </c>
      <c r="I30" s="31" t="str">
        <f>IF(OR('Summary Op Stmt (Operators)'!$H$20=0,'Summary Op Stmt (Operators)'!$H$20=""),"",H30/'Summary Op Stmt (Operators)'!$H$20)</f>
        <v/>
      </c>
      <c r="J30" s="30">
        <f>'Schedule 7 - Sales &amp; Marketing'!J57</f>
        <v>0</v>
      </c>
      <c r="K30" s="31" t="str">
        <f>IF(OR('Summary Op Stmt (Operators)'!$J$20=0,'Summary Op Stmt (Operators)'!$J$20=""),"",J30/'Summary Op Stmt (Operators)'!$J$20)</f>
        <v/>
      </c>
      <c r="L30" s="30">
        <f>'Schedule 7 - Sales &amp; Marketing'!L57</f>
        <v>0</v>
      </c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102</v>
      </c>
      <c r="B31" s="30">
        <f>'Schedule 8 - Prop Op &amp; Maint'!B57</f>
        <v>0</v>
      </c>
      <c r="C31" s="31" t="str">
        <f>IF(OR('Summary Op Stmt (Operators)'!$B$20=0,'Summary Op Stmt (Operators)'!$B$20=""),"",B31/'Summary Op Stmt (Operators)'!$B$20)</f>
        <v/>
      </c>
      <c r="D31" s="30">
        <f>'Schedule 8 - Prop Op &amp; Maint'!D57</f>
        <v>0</v>
      </c>
      <c r="E31" s="31" t="str">
        <f>IF(OR('Summary Op Stmt (Operators)'!$D$20=0,'Summary Op Stmt (Operators)'!$D$20=""),"",D31/'Summary Op Stmt (Operators)'!$D$20)</f>
        <v/>
      </c>
      <c r="F31" s="30">
        <f>'Schedule 8 - Prop Op &amp; Maint'!F57</f>
        <v>0</v>
      </c>
      <c r="G31" s="31" t="str">
        <f>IF(OR('Summary Op Stmt (Operators)'!$F$20=0,'Summary Op Stmt (Operators)'!$F$20=""),"",F31/'Summary Op Stmt (Operators)'!$F$20)</f>
        <v/>
      </c>
      <c r="H31" s="30">
        <f>'Schedule 8 - Prop Op &amp; Maint'!H57</f>
        <v>0</v>
      </c>
      <c r="I31" s="31" t="str">
        <f>IF(OR('Summary Op Stmt (Operators)'!$H$20=0,'Summary Op Stmt (Operators)'!$H$20=""),"",H31/'Summary Op Stmt (Operators)'!$H$20)</f>
        <v/>
      </c>
      <c r="J31" s="30">
        <f>'Schedule 8 - Prop Op &amp; Maint'!J57</f>
        <v>0</v>
      </c>
      <c r="K31" s="31" t="str">
        <f>IF(OR('Summary Op Stmt (Operators)'!$J$20=0,'Summary Op Stmt (Operators)'!$J$20=""),"",J31/'Summary Op Stmt (Operators)'!$J$20)</f>
        <v/>
      </c>
      <c r="L31" s="30">
        <f>'Schedule 8 - Prop Op &amp; Maint'!L57</f>
        <v>0</v>
      </c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25" t="s">
        <v>103</v>
      </c>
      <c r="B32" s="30">
        <f>'Schedule 9 - Utilities'!B16</f>
        <v>0</v>
      </c>
      <c r="C32" s="31" t="str">
        <f>IF(OR('Summary Op Stmt (Operators)'!$B$20=0,'Summary Op Stmt (Operators)'!$B$20=""),"",B32/'Summary Op Stmt (Operators)'!$B$20)</f>
        <v/>
      </c>
      <c r="D32" s="30">
        <f>'Schedule 9 - Utilities'!D16</f>
        <v>0</v>
      </c>
      <c r="E32" s="31" t="str">
        <f>IF(OR('Summary Op Stmt (Operators)'!$D$20=0,'Summary Op Stmt (Operators)'!$D$20=""),"",D32/'Summary Op Stmt (Operators)'!$D$20)</f>
        <v/>
      </c>
      <c r="F32" s="30">
        <f>'Schedule 9 - Utilities'!F16</f>
        <v>0</v>
      </c>
      <c r="G32" s="31" t="str">
        <f>IF(OR('Summary Op Stmt (Operators)'!$F$20=0,'Summary Op Stmt (Operators)'!$F$20=""),"",F32/'Summary Op Stmt (Operators)'!$F$20)</f>
        <v/>
      </c>
      <c r="H32" s="30">
        <f>'Schedule 9 - Utilities'!H16</f>
        <v>0</v>
      </c>
      <c r="I32" s="31" t="str">
        <f>IF(OR('Summary Op Stmt (Operators)'!$H$20=0,'Summary Op Stmt (Operators)'!$H$20=""),"",H32/'Summary Op Stmt (Operators)'!$H$20)</f>
        <v/>
      </c>
      <c r="J32" s="30">
        <f>'Schedule 9 - Utilities'!J16</f>
        <v>0</v>
      </c>
      <c r="K32" s="31" t="str">
        <f>IF(OR('Summary Op Stmt (Operators)'!$J$20=0,'Summary Op Stmt (Operators)'!$J$20=""),"",J32/'Summary Op Stmt (Operators)'!$J$20)</f>
        <v/>
      </c>
      <c r="L32" s="30">
        <f>'Schedule 9 - Utilities'!L16</f>
        <v>0</v>
      </c>
      <c r="M32" s="31" t="str">
        <f>IF(OR('Summary Op Stmt (Operators)'!$L$20=0,'Summary Op Stmt (Operators)'!$L$20=""),"",L32/'Summary Op Stmt (Operators)'!$L$20)</f>
        <v/>
      </c>
    </row>
    <row r="33" spans="1:13" x14ac:dyDescent="0.2">
      <c r="A33" s="32" t="s">
        <v>104</v>
      </c>
      <c r="B33" s="33">
        <f>B28+B29+B30+B31+B32</f>
        <v>0</v>
      </c>
      <c r="C33" s="34" t="str">
        <f>IF(OR('Summary Op Stmt (Operators)'!$B$20=0,'Summary Op Stmt (Operators)'!$B$20=""),"",B33/'Summary Op Stmt (Operators)'!$B$20)</f>
        <v/>
      </c>
      <c r="D33" s="33">
        <f>D28+D29+D30+D31+D32</f>
        <v>0</v>
      </c>
      <c r="E33" s="34" t="str">
        <f>IF(OR('Summary Op Stmt (Operators)'!$D$20=0,'Summary Op Stmt (Operators)'!$D$20=""),"",D33/'Summary Op Stmt (Operators)'!$D$20)</f>
        <v/>
      </c>
      <c r="F33" s="33">
        <f>F28+F29+F30+F31+F32</f>
        <v>0</v>
      </c>
      <c r="G33" s="34" t="str">
        <f>IF(OR('Summary Op Stmt (Operators)'!$F$20=0,'Summary Op Stmt (Operators)'!$F$20=""),"",F33/'Summary Op Stmt (Operators)'!$F$20)</f>
        <v/>
      </c>
      <c r="H33" s="33">
        <f>H28+H29+H30+H31+H32</f>
        <v>0</v>
      </c>
      <c r="I33" s="34" t="str">
        <f>IF(OR('Summary Op Stmt (Operators)'!$H$20=0,'Summary Op Stmt (Operators)'!$H$20=""),"",H33/'Summary Op Stmt (Operators)'!$H$20)</f>
        <v/>
      </c>
      <c r="J33" s="33">
        <f>J28+J29+J30+J31+J32</f>
        <v>0</v>
      </c>
      <c r="K33" s="34" t="str">
        <f>IF(OR('Summary Op Stmt (Operators)'!$J$20=0,'Summary Op Stmt (Operators)'!$J$20=""),"",J33/'Summary Op Stmt (Operators)'!$J$20)</f>
        <v/>
      </c>
      <c r="L33" s="33">
        <f>L28+L29+L30+L31+L32</f>
        <v>0</v>
      </c>
      <c r="M33" s="34" t="str">
        <f>IF(OR('Summary Op Stmt (Operators)'!$L$20=0,'Summary Op Stmt (Operators)'!$L$20=""),"",L33/'Summary Op Stmt (Operators)'!$L$20)</f>
        <v/>
      </c>
    </row>
    <row r="34" spans="1:13" x14ac:dyDescent="0.2">
      <c r="A34" s="32" t="s">
        <v>105</v>
      </c>
      <c r="B34" s="33">
        <f>B26-B33</f>
        <v>0</v>
      </c>
      <c r="C34" s="34" t="str">
        <f>IF(OR('Summary Op Stmt (Operators)'!$B$20=0,'Summary Op Stmt (Operators)'!$B$20=""),"",B34/'Summary Op Stmt (Operators)'!$B$20)</f>
        <v/>
      </c>
      <c r="D34" s="33">
        <f>D26-D33</f>
        <v>0</v>
      </c>
      <c r="E34" s="34" t="str">
        <f>IF(OR('Summary Op Stmt (Operators)'!$D$20=0,'Summary Op Stmt (Operators)'!$D$20=""),"",D34/'Summary Op Stmt (Operators)'!$D$20)</f>
        <v/>
      </c>
      <c r="F34" s="33">
        <f>F26-F33</f>
        <v>0</v>
      </c>
      <c r="G34" s="34" t="str">
        <f>IF(OR('Summary Op Stmt (Operators)'!$F$20=0,'Summary Op Stmt (Operators)'!$F$20=""),"",F34/'Summary Op Stmt (Operators)'!$F$20)</f>
        <v/>
      </c>
      <c r="H34" s="33">
        <f>H26-H33</f>
        <v>0</v>
      </c>
      <c r="I34" s="34" t="str">
        <f>IF(OR('Summary Op Stmt (Operators)'!$H$20=0,'Summary Op Stmt (Operators)'!$H$20=""),"",H34/'Summary Op Stmt (Operators)'!$H$20)</f>
        <v/>
      </c>
      <c r="J34" s="33">
        <f>J26-J33</f>
        <v>0</v>
      </c>
      <c r="K34" s="34" t="str">
        <f>IF(OR('Summary Op Stmt (Operators)'!$J$20=0,'Summary Op Stmt (Operators)'!$J$20=""),"",J34/'Summary Op Stmt (Operators)'!$J$20)</f>
        <v/>
      </c>
      <c r="L34" s="33">
        <f>L26-L33</f>
        <v>0</v>
      </c>
      <c r="M34" s="34" t="str">
        <f>IF(OR('Summary Op Stmt (Operators)'!$L$20=0,'Summary Op Stmt (Operators)'!$L$20=""),"",L34/'Summary Op Stmt (Operators)'!$L$20)</f>
        <v/>
      </c>
    </row>
    <row r="35" spans="1:13" x14ac:dyDescent="0.2">
      <c r="A35" s="25" t="s">
        <v>106</v>
      </c>
      <c r="B35" s="30">
        <f>'Schedule 10 - Management Fees'!B10</f>
        <v>0</v>
      </c>
      <c r="C35" s="31" t="str">
        <f>IF(OR('Summary Op Stmt (Operators)'!$B$20=0,'Summary Op Stmt (Operators)'!$B$20=""),"",B35/'Summary Op Stmt (Operators)'!$B$20)</f>
        <v/>
      </c>
      <c r="D35" s="30">
        <f>'Schedule 10 - Management Fees'!D10</f>
        <v>0</v>
      </c>
      <c r="E35" s="31" t="str">
        <f>IF(OR('Summary Op Stmt (Operators)'!$D$20=0,'Summary Op Stmt (Operators)'!$D$20=""),"",D35/'Summary Op Stmt (Operators)'!$D$20)</f>
        <v/>
      </c>
      <c r="F35" s="30">
        <f>'Schedule 10 - Management Fees'!F10</f>
        <v>0</v>
      </c>
      <c r="G35" s="31" t="str">
        <f>IF(OR('Summary Op Stmt (Operators)'!$F$20=0,'Summary Op Stmt (Operators)'!$F$20=""),"",F35/'Summary Op Stmt (Operators)'!$F$20)</f>
        <v/>
      </c>
      <c r="H35" s="30">
        <f>'Schedule 10 - Management Fees'!H10</f>
        <v>0</v>
      </c>
      <c r="I35" s="31" t="str">
        <f>IF(OR('Summary Op Stmt (Operators)'!$H$20=0,'Summary Op Stmt (Operators)'!$H$20=""),"",H35/'Summary Op Stmt (Operators)'!$H$20)</f>
        <v/>
      </c>
      <c r="J35" s="30">
        <f>'Schedule 10 - Management Fees'!J10</f>
        <v>0</v>
      </c>
      <c r="K35" s="31" t="str">
        <f>IF(OR('Summary Op Stmt (Operators)'!$J$20=0,'Summary Op Stmt (Operators)'!$J$20=""),"",J35/'Summary Op Stmt (Operators)'!$J$20)</f>
        <v/>
      </c>
      <c r="L35" s="30">
        <f>'Schedule 10 - Management Fees'!L10</f>
        <v>0</v>
      </c>
      <c r="M35" s="31" t="str">
        <f>IF(OR('Summary Op Stmt (Operators)'!$L$20=0,'Summary Op Stmt (Operators)'!$L$20=""),"",L35/'Summary Op Stmt (Operators)'!$L$20)</f>
        <v/>
      </c>
    </row>
    <row r="36" spans="1:13" x14ac:dyDescent="0.2">
      <c r="A36" s="32" t="s">
        <v>107</v>
      </c>
      <c r="B36" s="33">
        <f>B34-B35</f>
        <v>0</v>
      </c>
      <c r="C36" s="34" t="str">
        <f>IF(OR('Summary Op Stmt (Operators)'!$B$20=0,'Summary Op Stmt (Operators)'!$B$20=""),"",B36/'Summary Op Stmt (Operators)'!$B$20)</f>
        <v/>
      </c>
      <c r="D36" s="33">
        <f>D34-D35</f>
        <v>0</v>
      </c>
      <c r="E36" s="34" t="str">
        <f>IF(OR('Summary Op Stmt (Operators)'!$D$20=0,'Summary Op Stmt (Operators)'!$D$20=""),"",D36/'Summary Op Stmt (Operators)'!$D$20)</f>
        <v/>
      </c>
      <c r="F36" s="33">
        <f>F34-F35</f>
        <v>0</v>
      </c>
      <c r="G36" s="34" t="str">
        <f>IF(OR('Summary Op Stmt (Operators)'!$F$20=0,'Summary Op Stmt (Operators)'!$F$20=""),"",F36/'Summary Op Stmt (Operators)'!$F$20)</f>
        <v/>
      </c>
      <c r="H36" s="33">
        <f>H34-H35</f>
        <v>0</v>
      </c>
      <c r="I36" s="34" t="str">
        <f>IF(OR('Summary Op Stmt (Operators)'!$H$20=0,'Summary Op Stmt (Operators)'!$H$20=""),"",H36/'Summary Op Stmt (Operators)'!$H$20)</f>
        <v/>
      </c>
      <c r="J36" s="33">
        <f>J34-J35</f>
        <v>0</v>
      </c>
      <c r="K36" s="34" t="str">
        <f>IF(OR('Summary Op Stmt (Operators)'!$J$20=0,'Summary Op Stmt (Operators)'!$J$20=""),"",J36/'Summary Op Stmt (Operators)'!$J$20)</f>
        <v/>
      </c>
      <c r="L36" s="33">
        <f>L34-L35</f>
        <v>0</v>
      </c>
      <c r="M36" s="34" t="str">
        <f>IF(OR('Summary Op Stmt (Operators)'!$L$20=0,'Summary Op Stmt (Operators)'!$L$20=""),"",L36/'Summary Op Stmt (Operators)'!$L$20)</f>
        <v/>
      </c>
    </row>
    <row r="37" spans="1:13" x14ac:dyDescent="0.2">
      <c r="A37" s="23" t="s">
        <v>39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 x14ac:dyDescent="0.2">
      <c r="A38" s="25" t="s">
        <v>108</v>
      </c>
      <c r="B38" s="30">
        <f>'Schedule 11 - Non-Operating'!B11</f>
        <v>0</v>
      </c>
      <c r="C38" s="31" t="str">
        <f>IF(OR('Summary Op Stmt (Operators)'!$B$20=0,'Summary Op Stmt (Operators)'!$B$20=""),"",B38/'Summary Op Stmt (Operators)'!$B$20)</f>
        <v/>
      </c>
      <c r="D38" s="30">
        <f>'Schedule 11 - Non-Operating'!D11</f>
        <v>0</v>
      </c>
      <c r="E38" s="31" t="str">
        <f>IF(OR('Summary Op Stmt (Operators)'!$D$20=0,'Summary Op Stmt (Operators)'!$D$20=""),"",D38/'Summary Op Stmt (Operators)'!$D$20)</f>
        <v/>
      </c>
      <c r="F38" s="30">
        <f>'Schedule 11 - Non-Operating'!F11</f>
        <v>0</v>
      </c>
      <c r="G38" s="31" t="str">
        <f>IF(OR('Summary Op Stmt (Operators)'!$F$20=0,'Summary Op Stmt (Operators)'!$F$20=""),"",F38/'Summary Op Stmt (Operators)'!$F$20)</f>
        <v/>
      </c>
      <c r="H38" s="30">
        <f>'Schedule 11 - Non-Operating'!H11</f>
        <v>0</v>
      </c>
      <c r="I38" s="31" t="str">
        <f>IF(OR('Summary Op Stmt (Operators)'!$H$20=0,'Summary Op Stmt (Operators)'!$H$20=""),"",H38/'Summary Op Stmt (Operators)'!$H$20)</f>
        <v/>
      </c>
      <c r="J38" s="30">
        <f>'Schedule 11 - Non-Operating'!J11</f>
        <v>0</v>
      </c>
      <c r="K38" s="31" t="str">
        <f>IF(OR('Summary Op Stmt (Operators)'!$J$20=0,'Summary Op Stmt (Operators)'!$J$20=""),"",J38/'Summary Op Stmt (Operators)'!$J$20)</f>
        <v/>
      </c>
      <c r="L38" s="30">
        <f>'Schedule 11 - Non-Operating'!L11</f>
        <v>0</v>
      </c>
      <c r="M38" s="31" t="str">
        <f>IF(OR('Summary Op Stmt (Operators)'!$L$20=0,'Summary Op Stmt (Operators)'!$L$20=""),"",L38/'Summary Op Stmt (Operators)'!$L$20)</f>
        <v/>
      </c>
    </row>
    <row r="39" spans="1:13" x14ac:dyDescent="0.2">
      <c r="A39" s="25" t="s">
        <v>109</v>
      </c>
      <c r="B39" s="30">
        <f>'Schedule 11 - Non-Operating'!B15</f>
        <v>0</v>
      </c>
      <c r="C39" s="31" t="str">
        <f>IF(OR('Summary Op Stmt (Operators)'!$B$20=0,'Summary Op Stmt (Operators)'!$B$20=""),"",B39/'Summary Op Stmt (Operators)'!$B$20)</f>
        <v/>
      </c>
      <c r="D39" s="30">
        <f>'Schedule 11 - Non-Operating'!D15</f>
        <v>0</v>
      </c>
      <c r="E39" s="31" t="str">
        <f>IF(OR('Summary Op Stmt (Operators)'!$D$20=0,'Summary Op Stmt (Operators)'!$D$20=""),"",D39/'Summary Op Stmt (Operators)'!$D$20)</f>
        <v/>
      </c>
      <c r="F39" s="30">
        <f>'Schedule 11 - Non-Operating'!F15</f>
        <v>0</v>
      </c>
      <c r="G39" s="31" t="str">
        <f>IF(OR('Summary Op Stmt (Operators)'!$F$20=0,'Summary Op Stmt (Operators)'!$F$20=""),"",F39/'Summary Op Stmt (Operators)'!$F$20)</f>
        <v/>
      </c>
      <c r="H39" s="30">
        <f>'Schedule 11 - Non-Operating'!H15</f>
        <v>0</v>
      </c>
      <c r="I39" s="31" t="str">
        <f>IF(OR('Summary Op Stmt (Operators)'!$H$20=0,'Summary Op Stmt (Operators)'!$H$20=""),"",H39/'Summary Op Stmt (Operators)'!$H$20)</f>
        <v/>
      </c>
      <c r="J39" s="30">
        <f>'Schedule 11 - Non-Operating'!J15</f>
        <v>0</v>
      </c>
      <c r="K39" s="31" t="str">
        <f>IF(OR('Summary Op Stmt (Operators)'!$J$20=0,'Summary Op Stmt (Operators)'!$J$20=""),"",J39/'Summary Op Stmt (Operators)'!$J$20)</f>
        <v/>
      </c>
      <c r="L39" s="30">
        <f>'Schedule 11 - Non-Operating'!L15</f>
        <v>0</v>
      </c>
      <c r="M39" s="31" t="str">
        <f>IF(OR('Summary Op Stmt (Operators)'!$L$20=0,'Summary Op Stmt (Operators)'!$L$20=""),"",L39/'Summary Op Stmt (Operators)'!$L$20)</f>
        <v/>
      </c>
    </row>
    <row r="40" spans="1:13" x14ac:dyDescent="0.2">
      <c r="A40" s="25" t="s">
        <v>110</v>
      </c>
      <c r="B40" s="30">
        <f>'Schedule 11 - Non-Operating'!B21</f>
        <v>0</v>
      </c>
      <c r="C40" s="31" t="str">
        <f>IF(OR('Summary Op Stmt (Operators)'!$B$20=0,'Summary Op Stmt (Operators)'!$B$20=""),"",B40/'Summary Op Stmt (Operators)'!$B$20)</f>
        <v/>
      </c>
      <c r="D40" s="30">
        <f>'Schedule 11 - Non-Operating'!D21</f>
        <v>0</v>
      </c>
      <c r="E40" s="31" t="str">
        <f>IF(OR('Summary Op Stmt (Operators)'!$D$20=0,'Summary Op Stmt (Operators)'!$D$20=""),"",D40/'Summary Op Stmt (Operators)'!$D$20)</f>
        <v/>
      </c>
      <c r="F40" s="30">
        <f>'Schedule 11 - Non-Operating'!F21</f>
        <v>0</v>
      </c>
      <c r="G40" s="31" t="str">
        <f>IF(OR('Summary Op Stmt (Operators)'!$F$20=0,'Summary Op Stmt (Operators)'!$F$20=""),"",F40/'Summary Op Stmt (Operators)'!$F$20)</f>
        <v/>
      </c>
      <c r="H40" s="30">
        <f>'Schedule 11 - Non-Operating'!H21</f>
        <v>0</v>
      </c>
      <c r="I40" s="31" t="str">
        <f>IF(OR('Summary Op Stmt (Operators)'!$H$20=0,'Summary Op Stmt (Operators)'!$H$20=""),"",H40/'Summary Op Stmt (Operators)'!$H$20)</f>
        <v/>
      </c>
      <c r="J40" s="30">
        <f>'Schedule 11 - Non-Operating'!J21</f>
        <v>0</v>
      </c>
      <c r="K40" s="31" t="str">
        <f>IF(OR('Summary Op Stmt (Operators)'!$J$20=0,'Summary Op Stmt (Operators)'!$J$20=""),"",J40/'Summary Op Stmt (Operators)'!$J$20)</f>
        <v/>
      </c>
      <c r="L40" s="30">
        <f>'Schedule 11 - Non-Operating'!L21</f>
        <v>0</v>
      </c>
      <c r="M40" s="31" t="str">
        <f>IF(OR('Summary Op Stmt (Operators)'!$L$20=0,'Summary Op Stmt (Operators)'!$L$20=""),"",L40/'Summary Op Stmt (Operators)'!$L$20)</f>
        <v/>
      </c>
    </row>
    <row r="41" spans="1:13" x14ac:dyDescent="0.2">
      <c r="A41" s="25" t="s">
        <v>111</v>
      </c>
      <c r="B41" s="30">
        <f>'Schedule 11 - Non-Operating'!B26</f>
        <v>0</v>
      </c>
      <c r="C41" s="31" t="str">
        <f>IF(OR('Summary Op Stmt (Operators)'!$B$20=0,'Summary Op Stmt (Operators)'!$B$20=""),"",B41/'Summary Op Stmt (Operators)'!$B$20)</f>
        <v/>
      </c>
      <c r="D41" s="30">
        <f>'Schedule 11 - Non-Operating'!D26</f>
        <v>0</v>
      </c>
      <c r="E41" s="31" t="str">
        <f>IF(OR('Summary Op Stmt (Operators)'!$D$20=0,'Summary Op Stmt (Operators)'!$D$20=""),"",D41/'Summary Op Stmt (Operators)'!$D$20)</f>
        <v/>
      </c>
      <c r="F41" s="30">
        <f>'Schedule 11 - Non-Operating'!F26</f>
        <v>0</v>
      </c>
      <c r="G41" s="31" t="str">
        <f>IF(OR('Summary Op Stmt (Operators)'!$F$20=0,'Summary Op Stmt (Operators)'!$F$20=""),"",F41/'Summary Op Stmt (Operators)'!$F$20)</f>
        <v/>
      </c>
      <c r="H41" s="30">
        <f>'Schedule 11 - Non-Operating'!H26</f>
        <v>0</v>
      </c>
      <c r="I41" s="31" t="str">
        <f>IF(OR('Summary Op Stmt (Operators)'!$H$20=0,'Summary Op Stmt (Operators)'!$H$20=""),"",H41/'Summary Op Stmt (Operators)'!$H$20)</f>
        <v/>
      </c>
      <c r="J41" s="30">
        <f>'Schedule 11 - Non-Operating'!J26</f>
        <v>0</v>
      </c>
      <c r="K41" s="31" t="str">
        <f>IF(OR('Summary Op Stmt (Operators)'!$J$20=0,'Summary Op Stmt (Operators)'!$J$20=""),"",J41/'Summary Op Stmt (Operators)'!$J$20)</f>
        <v/>
      </c>
      <c r="L41" s="30">
        <f>'Schedule 11 - Non-Operating'!L26</f>
        <v>0</v>
      </c>
      <c r="M41" s="31" t="str">
        <f>IF(OR('Summary Op Stmt (Operators)'!$L$20=0,'Summary Op Stmt (Operators)'!$L$20=""),"",L41/'Summary Op Stmt (Operators)'!$L$20)</f>
        <v/>
      </c>
    </row>
    <row r="42" spans="1:13" x14ac:dyDescent="0.2">
      <c r="A42" s="25" t="s">
        <v>112</v>
      </c>
      <c r="B42" s="30">
        <f>'Schedule 11 - Non-Operating'!B32</f>
        <v>0</v>
      </c>
      <c r="C42" s="31" t="str">
        <f>IF(OR('Summary Op Stmt (Operators)'!$B$20=0,'Summary Op Stmt (Operators)'!$B$20=""),"",B42/'Summary Op Stmt (Operators)'!$B$20)</f>
        <v/>
      </c>
      <c r="D42" s="30">
        <f>'Schedule 11 - Non-Operating'!D32</f>
        <v>0</v>
      </c>
      <c r="E42" s="31" t="str">
        <f>IF(OR('Summary Op Stmt (Operators)'!$D$20=0,'Summary Op Stmt (Operators)'!$D$20=""),"",D42/'Summary Op Stmt (Operators)'!$D$20)</f>
        <v/>
      </c>
      <c r="F42" s="30">
        <f>'Schedule 11 - Non-Operating'!F32</f>
        <v>0</v>
      </c>
      <c r="G42" s="31" t="str">
        <f>IF(OR('Summary Op Stmt (Operators)'!$F$20=0,'Summary Op Stmt (Operators)'!$F$20=""),"",F42/'Summary Op Stmt (Operators)'!$F$20)</f>
        <v/>
      </c>
      <c r="H42" s="30">
        <f>'Schedule 11 - Non-Operating'!H32</f>
        <v>0</v>
      </c>
      <c r="I42" s="31" t="str">
        <f>IF(OR('Summary Op Stmt (Operators)'!$H$20=0,'Summary Op Stmt (Operators)'!$H$20=""),"",H42/'Summary Op Stmt (Operators)'!$H$20)</f>
        <v/>
      </c>
      <c r="J42" s="30">
        <f>'Schedule 11 - Non-Operating'!J32</f>
        <v>0</v>
      </c>
      <c r="K42" s="31" t="str">
        <f>IF(OR('Summary Op Stmt (Operators)'!$J$20=0,'Summary Op Stmt (Operators)'!$J$20=""),"",J42/'Summary Op Stmt (Operators)'!$J$20)</f>
        <v/>
      </c>
      <c r="L42" s="30">
        <f>'Schedule 11 - Non-Operating'!L32</f>
        <v>0</v>
      </c>
      <c r="M42" s="31" t="str">
        <f>IF(OR('Summary Op Stmt (Operators)'!$L$20=0,'Summary Op Stmt (Operators)'!$L$20=""),"",L42/'Summary Op Stmt (Operators)'!$L$20)</f>
        <v/>
      </c>
    </row>
    <row r="43" spans="1:13" x14ac:dyDescent="0.2">
      <c r="A43" s="35" t="s">
        <v>113</v>
      </c>
      <c r="B43" s="36">
        <f>B39+B40+B41+B42-B38</f>
        <v>0</v>
      </c>
      <c r="C43" s="37" t="str">
        <f>IF(OR('Summary Op Stmt (Operators)'!$B$20=0,'Summary Op Stmt (Operators)'!$B$20=""),"",B43/'Summary Op Stmt (Operators)'!$B$20)</f>
        <v/>
      </c>
      <c r="D43" s="36">
        <f>D39+D40+D41+D42-D38</f>
        <v>0</v>
      </c>
      <c r="E43" s="37" t="str">
        <f>IF(OR('Summary Op Stmt (Operators)'!$D$20=0,'Summary Op Stmt (Operators)'!$D$20=""),"",D43/'Summary Op Stmt (Operators)'!$D$20)</f>
        <v/>
      </c>
      <c r="F43" s="36">
        <f>F39+F40+F41+F42-F38</f>
        <v>0</v>
      </c>
      <c r="G43" s="37" t="str">
        <f>IF(OR('Summary Op Stmt (Operators)'!$F$20=0,'Summary Op Stmt (Operators)'!$F$20=""),"",F43/'Summary Op Stmt (Operators)'!$F$20)</f>
        <v/>
      </c>
      <c r="H43" s="36">
        <f>H39+H40+H41+H42-H38</f>
        <v>0</v>
      </c>
      <c r="I43" s="37" t="str">
        <f>IF(OR('Summary Op Stmt (Operators)'!$H$20=0,'Summary Op Stmt (Operators)'!$H$20=""),"",H43/'Summary Op Stmt (Operators)'!$H$20)</f>
        <v/>
      </c>
      <c r="J43" s="36">
        <f>J39+J40+J41+J42-J38</f>
        <v>0</v>
      </c>
      <c r="K43" s="37" t="str">
        <f>IF(OR('Summary Op Stmt (Operators)'!$J$20=0,'Summary Op Stmt (Operators)'!$J$20=""),"",J43/'Summary Op Stmt (Operators)'!$J$20)</f>
        <v/>
      </c>
      <c r="L43" s="36">
        <f>L39+L40+L41+L42-L38</f>
        <v>0</v>
      </c>
      <c r="M43" s="37" t="str">
        <f>IF(OR('Summary Op Stmt (Operators)'!$L$20=0,'Summary Op Stmt (Operators)'!$L$20=""),"",L43/'Summary Op Stmt (Operators)'!$L$20)</f>
        <v/>
      </c>
    </row>
    <row r="44" spans="1:13" x14ac:dyDescent="0.2">
      <c r="A44" s="32" t="s">
        <v>114</v>
      </c>
      <c r="B44" s="33">
        <f>B36-B43</f>
        <v>0</v>
      </c>
      <c r="C44" s="34" t="str">
        <f>IF(OR('Summary Op Stmt (Operators)'!$B$20=0,'Summary Op Stmt (Operators)'!$B$20=""),"",B44/'Summary Op Stmt (Operators)'!$B$20)</f>
        <v/>
      </c>
      <c r="D44" s="33">
        <f>D36-D43</f>
        <v>0</v>
      </c>
      <c r="E44" s="34" t="str">
        <f>IF(OR('Summary Op Stmt (Operators)'!$D$20=0,'Summary Op Stmt (Operators)'!$D$20=""),"",D44/'Summary Op Stmt (Operators)'!$D$20)</f>
        <v/>
      </c>
      <c r="F44" s="33">
        <f>F36-F43</f>
        <v>0</v>
      </c>
      <c r="G44" s="34" t="str">
        <f>IF(OR('Summary Op Stmt (Operators)'!$F$20=0,'Summary Op Stmt (Operators)'!$F$20=""),"",F44/'Summary Op Stmt (Operators)'!$F$20)</f>
        <v/>
      </c>
      <c r="H44" s="33">
        <f>H36-H43</f>
        <v>0</v>
      </c>
      <c r="I44" s="34" t="str">
        <f>IF(OR('Summary Op Stmt (Operators)'!$H$20=0,'Summary Op Stmt (Operators)'!$H$20=""),"",H44/'Summary Op Stmt (Operators)'!$H$20)</f>
        <v/>
      </c>
      <c r="J44" s="33">
        <f>J36-J43</f>
        <v>0</v>
      </c>
      <c r="K44" s="34" t="str">
        <f>IF(OR('Summary Op Stmt (Operators)'!$J$20=0,'Summary Op Stmt (Operators)'!$J$20=""),"",J44/'Summary Op Stmt (Operators)'!$J$20)</f>
        <v/>
      </c>
      <c r="L44" s="33">
        <f>L36-L43</f>
        <v>0</v>
      </c>
      <c r="M44" s="34" t="str">
        <f>IF(OR('Summary Op Stmt (Operators)'!$L$20=0,'Summary Op Stmt (Operators)'!$L$20=""),"",L44/'Summary Op Stmt (Operators)'!$L$20)</f>
        <v/>
      </c>
    </row>
    <row r="45" spans="1:13" x14ac:dyDescent="0.2">
      <c r="A45" s="23" t="s">
        <v>119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spans="1:13" x14ac:dyDescent="0.2">
      <c r="A46" s="25" t="s">
        <v>120</v>
      </c>
      <c r="B46" s="26"/>
      <c r="C46" s="31" t="str">
        <f>IF(OR('Summary Op Stmt (Operators)'!$B$20=0,'Summary Op Stmt (Operators)'!$B$20=""),"",B46/'Summary Op Stmt (Operators)'!$B$20)</f>
        <v/>
      </c>
      <c r="D46" s="26"/>
      <c r="E46" s="31" t="str">
        <f>IF(OR('Summary Op Stmt (Operators)'!$D$20=0,'Summary Op Stmt (Operators)'!$D$20=""),"",D46/'Summary Op Stmt (Operators)'!$D$20)</f>
        <v/>
      </c>
      <c r="F46" s="26"/>
      <c r="G46" s="31" t="str">
        <f>IF(OR('Summary Op Stmt (Operators)'!$F$20=0,'Summary Op Stmt (Operators)'!$F$20=""),"",F46/'Summary Op Stmt (Operators)'!$F$20)</f>
        <v/>
      </c>
      <c r="H46" s="26"/>
      <c r="I46" s="31" t="str">
        <f>IF(OR('Summary Op Stmt (Operators)'!$H$20=0,'Summary Op Stmt (Operators)'!$H$20=""),"",H46/'Summary Op Stmt (Operators)'!$H$20)</f>
        <v/>
      </c>
      <c r="J46" s="26"/>
      <c r="K46" s="31" t="str">
        <f>IF(OR('Summary Op Stmt (Operators)'!$J$20=0,'Summary Op Stmt (Operators)'!$J$20=""),"",J46/'Summary Op Stmt (Operators)'!$J$20)</f>
        <v/>
      </c>
      <c r="L46" s="26"/>
      <c r="M46" s="31" t="str">
        <f>IF(OR('Summary Op Stmt (Operators)'!$L$20=0,'Summary Op Stmt (Operators)'!$L$20=""),"",L46/'Summary Op Stmt (Operators)'!$L$20)</f>
        <v/>
      </c>
    </row>
    <row r="47" spans="1:13" x14ac:dyDescent="0.2">
      <c r="A47" s="25" t="s">
        <v>121</v>
      </c>
      <c r="B47" s="26"/>
      <c r="C47" s="31" t="str">
        <f>IF(OR('Summary Op Stmt (Operators)'!$B$20=0,'Summary Op Stmt (Operators)'!$B$20=""),"",B47/'Summary Op Stmt (Operators)'!$B$20)</f>
        <v/>
      </c>
      <c r="D47" s="26"/>
      <c r="E47" s="31" t="str">
        <f>IF(OR('Summary Op Stmt (Operators)'!$D$20=0,'Summary Op Stmt (Operators)'!$D$20=""),"",D47/'Summary Op Stmt (Operators)'!$D$20)</f>
        <v/>
      </c>
      <c r="F47" s="26"/>
      <c r="G47" s="31" t="str">
        <f>IF(OR('Summary Op Stmt (Operators)'!$F$20=0,'Summary Op Stmt (Operators)'!$F$20=""),"",F47/'Summary Op Stmt (Operators)'!$F$20)</f>
        <v/>
      </c>
      <c r="H47" s="26"/>
      <c r="I47" s="31" t="str">
        <f>IF(OR('Summary Op Stmt (Operators)'!$H$20=0,'Summary Op Stmt (Operators)'!$H$20=""),"",H47/'Summary Op Stmt (Operators)'!$H$20)</f>
        <v/>
      </c>
      <c r="J47" s="26"/>
      <c r="K47" s="31" t="str">
        <f>IF(OR('Summary Op Stmt (Operators)'!$J$20=0,'Summary Op Stmt (Operators)'!$J$20=""),"",J47/'Summary Op Stmt (Operators)'!$J$20)</f>
        <v/>
      </c>
      <c r="L47" s="26"/>
      <c r="M47" s="31" t="str">
        <f>IF(OR('Summary Op Stmt (Operators)'!$L$20=0,'Summary Op Stmt (Operators)'!$L$20=""),"",L47/'Summary Op Stmt (Operators)'!$L$20)</f>
        <v/>
      </c>
    </row>
    <row r="48" spans="1:13" x14ac:dyDescent="0.2">
      <c r="A48" s="25" t="s">
        <v>122</v>
      </c>
      <c r="B48" s="26"/>
      <c r="C48" s="31" t="str">
        <f>IF(OR('Summary Op Stmt (Operators)'!$B$20=0,'Summary Op Stmt (Operators)'!$B$20=""),"",B48/'Summary Op Stmt (Operators)'!$B$20)</f>
        <v/>
      </c>
      <c r="D48" s="26"/>
      <c r="E48" s="31" t="str">
        <f>IF(OR('Summary Op Stmt (Operators)'!$D$20=0,'Summary Op Stmt (Operators)'!$D$20=""),"",D48/'Summary Op Stmt (Operators)'!$D$20)</f>
        <v/>
      </c>
      <c r="F48" s="26"/>
      <c r="G48" s="31" t="str">
        <f>IF(OR('Summary Op Stmt (Operators)'!$F$20=0,'Summary Op Stmt (Operators)'!$F$20=""),"",F48/'Summary Op Stmt (Operators)'!$F$20)</f>
        <v/>
      </c>
      <c r="H48" s="26"/>
      <c r="I48" s="31" t="str">
        <f>IF(OR('Summary Op Stmt (Operators)'!$H$20=0,'Summary Op Stmt (Operators)'!$H$20=""),"",H48/'Summary Op Stmt (Operators)'!$H$20)</f>
        <v/>
      </c>
      <c r="J48" s="26"/>
      <c r="K48" s="31" t="str">
        <f>IF(OR('Summary Op Stmt (Operators)'!$J$20=0,'Summary Op Stmt (Operators)'!$J$20=""),"",J48/'Summary Op Stmt (Operators)'!$J$20)</f>
        <v/>
      </c>
      <c r="L48" s="26"/>
      <c r="M48" s="31" t="str">
        <f>IF(OR('Summary Op Stmt (Operators)'!$L$20=0,'Summary Op Stmt (Operators)'!$L$20=""),"",L48/'Summary Op Stmt (Operators)'!$L$20)</f>
        <v/>
      </c>
    </row>
    <row r="49" spans="1:13" x14ac:dyDescent="0.2">
      <c r="A49" s="35" t="s">
        <v>123</v>
      </c>
      <c r="B49" s="36">
        <f>B46+B47+B48</f>
        <v>0</v>
      </c>
      <c r="C49" s="37" t="str">
        <f>IF(OR('Summary Op Stmt (Operators)'!$B$20=0,'Summary Op Stmt (Operators)'!$B$20=""),"",B49/'Summary Op Stmt (Operators)'!$B$20)</f>
        <v/>
      </c>
      <c r="D49" s="36">
        <f>D46+D47+D48</f>
        <v>0</v>
      </c>
      <c r="E49" s="37" t="str">
        <f>IF(OR('Summary Op Stmt (Operators)'!$D$20=0,'Summary Op Stmt (Operators)'!$D$20=""),"",D49/'Summary Op Stmt (Operators)'!$D$20)</f>
        <v/>
      </c>
      <c r="F49" s="36">
        <f>F46+F47+F48</f>
        <v>0</v>
      </c>
      <c r="G49" s="37" t="str">
        <f>IF(OR('Summary Op Stmt (Operators)'!$F$20=0,'Summary Op Stmt (Operators)'!$F$20=""),"",F49/'Summary Op Stmt (Operators)'!$F$20)</f>
        <v/>
      </c>
      <c r="H49" s="36">
        <f>H46+H47+H48</f>
        <v>0</v>
      </c>
      <c r="I49" s="37" t="str">
        <f>IF(OR('Summary Op Stmt (Operators)'!$H$20=0,'Summary Op Stmt (Operators)'!$H$20=""),"",H49/'Summary Op Stmt (Operators)'!$H$20)</f>
        <v/>
      </c>
      <c r="J49" s="36">
        <f>J46+J47+J48</f>
        <v>0</v>
      </c>
      <c r="K49" s="37" t="str">
        <f>IF(OR('Summary Op Stmt (Operators)'!$J$20=0,'Summary Op Stmt (Operators)'!$J$20=""),"",J49/'Summary Op Stmt (Operators)'!$J$20)</f>
        <v/>
      </c>
      <c r="L49" s="36">
        <f>L46+L47+L48</f>
        <v>0</v>
      </c>
      <c r="M49" s="37" t="str">
        <f>IF(OR('Summary Op Stmt (Operators)'!$L$20=0,'Summary Op Stmt (Operators)'!$L$20=""),"",L49/'Summary Op Stmt (Operators)'!$L$20)</f>
        <v/>
      </c>
    </row>
    <row r="50" spans="1:13" x14ac:dyDescent="0.2">
      <c r="A50" s="32" t="s">
        <v>124</v>
      </c>
      <c r="B50" s="33">
        <f>B44-B49</f>
        <v>0</v>
      </c>
      <c r="C50" s="34" t="str">
        <f>IF(OR('Summary Op Stmt (Operators)'!$B$20=0,'Summary Op Stmt (Operators)'!$B$20=""),"",B50/'Summary Op Stmt (Operators)'!$B$20)</f>
        <v/>
      </c>
      <c r="D50" s="33">
        <f>D44-D49</f>
        <v>0</v>
      </c>
      <c r="E50" s="34" t="str">
        <f>IF(OR('Summary Op Stmt (Operators)'!$D$20=0,'Summary Op Stmt (Operators)'!$D$20=""),"",D50/'Summary Op Stmt (Operators)'!$D$20)</f>
        <v/>
      </c>
      <c r="F50" s="33">
        <f>F44-F49</f>
        <v>0</v>
      </c>
      <c r="G50" s="34" t="str">
        <f>IF(OR('Summary Op Stmt (Operators)'!$F$20=0,'Summary Op Stmt (Operators)'!$F$20=""),"",F50/'Summary Op Stmt (Operators)'!$F$20)</f>
        <v/>
      </c>
      <c r="H50" s="33">
        <f>H44-H49</f>
        <v>0</v>
      </c>
      <c r="I50" s="34" t="str">
        <f>IF(OR('Summary Op Stmt (Operators)'!$H$20=0,'Summary Op Stmt (Operators)'!$H$20=""),"",H50/'Summary Op Stmt (Operators)'!$H$20)</f>
        <v/>
      </c>
      <c r="J50" s="33">
        <f>J44-J49</f>
        <v>0</v>
      </c>
      <c r="K50" s="34" t="str">
        <f>IF(OR('Summary Op Stmt (Operators)'!$J$20=0,'Summary Op Stmt (Operators)'!$J$20=""),"",J50/'Summary Op Stmt (Operators)'!$J$20)</f>
        <v/>
      </c>
      <c r="L50" s="33">
        <f>L44-L49</f>
        <v>0</v>
      </c>
      <c r="M50" s="34" t="str">
        <f>IF(OR('Summary Op Stmt (Operators)'!$L$20=0,'Summary Op Stmt (Operators)'!$L$20=""),"",L50/'Summary Op Stmt (Operators)'!$L$20)</f>
        <v/>
      </c>
    </row>
    <row r="51" spans="1:13" x14ac:dyDescent="0.2">
      <c r="A51" s="25" t="s">
        <v>125</v>
      </c>
      <c r="B51" s="26"/>
      <c r="C51" s="31" t="str">
        <f>IF(OR('Summary Op Stmt (Operators)'!$B$20=0,'Summary Op Stmt (Operators)'!$B$20=""),"",B51/'Summary Op Stmt (Operators)'!$B$20)</f>
        <v/>
      </c>
      <c r="D51" s="26"/>
      <c r="E51" s="31" t="str">
        <f>IF(OR('Summary Op Stmt (Operators)'!$D$20=0,'Summary Op Stmt (Operators)'!$D$20=""),"",D51/'Summary Op Stmt (Operators)'!$D$20)</f>
        <v/>
      </c>
      <c r="F51" s="26"/>
      <c r="G51" s="31" t="str">
        <f>IF(OR('Summary Op Stmt (Operators)'!$F$20=0,'Summary Op Stmt (Operators)'!$F$20=""),"",F51/'Summary Op Stmt (Operators)'!$F$20)</f>
        <v/>
      </c>
      <c r="H51" s="26"/>
      <c r="I51" s="31" t="str">
        <f>IF(OR('Summary Op Stmt (Operators)'!$H$20=0,'Summary Op Stmt (Operators)'!$H$20=""),"",H51/'Summary Op Stmt (Operators)'!$H$20)</f>
        <v/>
      </c>
      <c r="J51" s="26"/>
      <c r="K51" s="31" t="str">
        <f>IF(OR('Summary Op Stmt (Operators)'!$J$20=0,'Summary Op Stmt (Operators)'!$J$20=""),"",J51/'Summary Op Stmt (Operators)'!$J$20)</f>
        <v/>
      </c>
      <c r="L51" s="26"/>
      <c r="M51" s="31" t="str">
        <f>IF(OR('Summary Op Stmt (Operators)'!$L$20=0,'Summary Op Stmt (Operators)'!$L$20=""),"",L51/'Summary Op Stmt (Operators)'!$L$20)</f>
        <v/>
      </c>
    </row>
    <row r="52" spans="1:13" x14ac:dyDescent="0.2">
      <c r="A52" s="38" t="s">
        <v>126</v>
      </c>
      <c r="B52" s="39">
        <f>B50-B51</f>
        <v>0</v>
      </c>
      <c r="C52" s="40" t="str">
        <f>IF(OR('Summary Op Stmt (Operators)'!$B$20=0,'Summary Op Stmt (Operators)'!$B$20=""),"",B52/'Summary Op Stmt (Operators)'!$B$20)</f>
        <v/>
      </c>
      <c r="D52" s="39">
        <f>D50-D51</f>
        <v>0</v>
      </c>
      <c r="E52" s="40" t="str">
        <f>IF(OR('Summary Op Stmt (Operators)'!$D$20=0,'Summary Op Stmt (Operators)'!$D$20=""),"",D52/'Summary Op Stmt (Operators)'!$D$20)</f>
        <v/>
      </c>
      <c r="F52" s="39">
        <f>F50-F51</f>
        <v>0</v>
      </c>
      <c r="G52" s="40" t="str">
        <f>IF(OR('Summary Op Stmt (Operators)'!$F$20=0,'Summary Op Stmt (Operators)'!$F$20=""),"",F52/'Summary Op Stmt (Operators)'!$F$20)</f>
        <v/>
      </c>
      <c r="H52" s="39">
        <f>H50-H51</f>
        <v>0</v>
      </c>
      <c r="I52" s="40" t="str">
        <f>IF(OR('Summary Op Stmt (Operators)'!$H$20=0,'Summary Op Stmt (Operators)'!$H$20=""),"",H52/'Summary Op Stmt (Operators)'!$H$20)</f>
        <v/>
      </c>
      <c r="J52" s="39">
        <f>J50-J51</f>
        <v>0</v>
      </c>
      <c r="K52" s="40" t="str">
        <f>IF(OR('Summary Op Stmt (Operators)'!$J$20=0,'Summary Op Stmt (Operators)'!$J$20=""),"",J52/'Summary Op Stmt (Operators)'!$J$20)</f>
        <v/>
      </c>
      <c r="L52" s="39">
        <f>L50-L51</f>
        <v>0</v>
      </c>
      <c r="M52" s="40" t="str">
        <f>IF(OR('Summary Op Stmt (Operators)'!$L$20=0,'Summary Op Stmt (Operators)'!$L$20=""),"",L52/'Summary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M82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128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129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3" t="s">
        <v>130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">
      <c r="A9" s="25" t="s">
        <v>131</v>
      </c>
      <c r="B9" s="26"/>
      <c r="C9" s="31" t="str">
        <f>IF(OR(B25=0,B25=""),"",B9/B25)</f>
        <v/>
      </c>
      <c r="D9" s="26"/>
      <c r="E9" s="31" t="str">
        <f>IF(OR(D25=0,D25=""),"",D9/D25)</f>
        <v/>
      </c>
      <c r="F9" s="26"/>
      <c r="G9" s="31" t="str">
        <f>IF(OR(F25=0,F25=""),"",F9/F25)</f>
        <v/>
      </c>
      <c r="H9" s="26"/>
      <c r="I9" s="31" t="str">
        <f>IF(OR(H25=0,H25=""),"",H9/H25)</f>
        <v/>
      </c>
      <c r="J9" s="26"/>
      <c r="K9" s="31" t="str">
        <f>IF(OR(J25=0,J25=""),"",J9/J25)</f>
        <v/>
      </c>
      <c r="L9" s="26"/>
      <c r="M9" s="31" t="str">
        <f>IF(OR(L25=0,L25=""),"",L9/L25)</f>
        <v/>
      </c>
    </row>
    <row r="10" spans="1:13" x14ac:dyDescent="0.2">
      <c r="A10" s="25" t="s">
        <v>132</v>
      </c>
      <c r="B10" s="26"/>
      <c r="C10" s="31" t="str">
        <f>IF(OR(B25=0,B25=""),"",B10/B25)</f>
        <v/>
      </c>
      <c r="D10" s="26"/>
      <c r="E10" s="31" t="str">
        <f>IF(OR(D25=0,D25=""),"",D10/D25)</f>
        <v/>
      </c>
      <c r="F10" s="26"/>
      <c r="G10" s="31" t="str">
        <f>IF(OR(F25=0,F25=""),"",F10/F25)</f>
        <v/>
      </c>
      <c r="H10" s="26"/>
      <c r="I10" s="31" t="str">
        <f>IF(OR(H25=0,H25=""),"",H10/H25)</f>
        <v/>
      </c>
      <c r="J10" s="26"/>
      <c r="K10" s="31" t="str">
        <f>IF(OR(J25=0,J25=""),"",J10/J25)</f>
        <v/>
      </c>
      <c r="L10" s="26"/>
      <c r="M10" s="31" t="str">
        <f>IF(OR(L25=0,L25=""),"",L10/L25)</f>
        <v/>
      </c>
    </row>
    <row r="11" spans="1:13" x14ac:dyDescent="0.2">
      <c r="A11" s="25" t="s">
        <v>133</v>
      </c>
      <c r="B11" s="26"/>
      <c r="C11" s="31" t="str">
        <f>IF(OR(B25=0,B25=""),"",B11/B25)</f>
        <v/>
      </c>
      <c r="D11" s="26"/>
      <c r="E11" s="31" t="str">
        <f>IF(OR(D25=0,D25=""),"",D11/D25)</f>
        <v/>
      </c>
      <c r="F11" s="26"/>
      <c r="G11" s="31" t="str">
        <f>IF(OR(F25=0,F25=""),"",F11/F25)</f>
        <v/>
      </c>
      <c r="H11" s="26"/>
      <c r="I11" s="31" t="str">
        <f>IF(OR(H25=0,H25=""),"",H11/H25)</f>
        <v/>
      </c>
      <c r="J11" s="26"/>
      <c r="K11" s="31" t="str">
        <f>IF(OR(J25=0,J25=""),"",J11/J25)</f>
        <v/>
      </c>
      <c r="L11" s="26"/>
      <c r="M11" s="31" t="str">
        <f>IF(OR(L25=0,L25=""),"",L11/L25)</f>
        <v/>
      </c>
    </row>
    <row r="12" spans="1:13" x14ac:dyDescent="0.2">
      <c r="A12" s="25" t="s">
        <v>134</v>
      </c>
      <c r="B12" s="26"/>
      <c r="C12" s="31" t="str">
        <f>IF(OR(B25=0,B25=""),"",B12/B25)</f>
        <v/>
      </c>
      <c r="D12" s="26"/>
      <c r="E12" s="31" t="str">
        <f>IF(OR(D25=0,D25=""),"",D12/D25)</f>
        <v/>
      </c>
      <c r="F12" s="26"/>
      <c r="G12" s="31" t="str">
        <f>IF(OR(F25=0,F25=""),"",F12/F25)</f>
        <v/>
      </c>
      <c r="H12" s="26"/>
      <c r="I12" s="31" t="str">
        <f>IF(OR(H25=0,H25=""),"",H12/H25)</f>
        <v/>
      </c>
      <c r="J12" s="26"/>
      <c r="K12" s="31" t="str">
        <f>IF(OR(J25=0,J25=""),"",J12/J25)</f>
        <v/>
      </c>
      <c r="L12" s="26"/>
      <c r="M12" s="31" t="str">
        <f>IF(OR(L25=0,L25=""),"",L12/L25)</f>
        <v/>
      </c>
    </row>
    <row r="13" spans="1:13" x14ac:dyDescent="0.2">
      <c r="A13" s="25" t="s">
        <v>135</v>
      </c>
      <c r="B13" s="26"/>
      <c r="C13" s="31" t="str">
        <f>IF(OR(B25=0,B25=""),"",B13/B25)</f>
        <v/>
      </c>
      <c r="D13" s="26"/>
      <c r="E13" s="31" t="str">
        <f>IF(OR(D25=0,D25=""),"",D13/D25)</f>
        <v/>
      </c>
      <c r="F13" s="26"/>
      <c r="G13" s="31" t="str">
        <f>IF(OR(F25=0,F25=""),"",F13/F25)</f>
        <v/>
      </c>
      <c r="H13" s="26"/>
      <c r="I13" s="31" t="str">
        <f>IF(OR(H25=0,H25=""),"",H13/H25)</f>
        <v/>
      </c>
      <c r="J13" s="26"/>
      <c r="K13" s="31" t="str">
        <f>IF(OR(J25=0,J25=""),"",J13/J25)</f>
        <v/>
      </c>
      <c r="L13" s="26"/>
      <c r="M13" s="31" t="str">
        <f>IF(OR(L25=0,L25=""),"",L13/L25)</f>
        <v/>
      </c>
    </row>
    <row r="14" spans="1:13" x14ac:dyDescent="0.2">
      <c r="A14" s="35" t="s">
        <v>136</v>
      </c>
      <c r="B14" s="36">
        <f>B9+B10+B11+B12+B13</f>
        <v>0</v>
      </c>
      <c r="C14" s="37" t="str">
        <f>IF(OR(B25=0,B25=""),"",B14/B25)</f>
        <v/>
      </c>
      <c r="D14" s="36">
        <f>D9+D10+D11+D12+D13</f>
        <v>0</v>
      </c>
      <c r="E14" s="37" t="str">
        <f>IF(OR(D25=0,D25=""),"",D14/D25)</f>
        <v/>
      </c>
      <c r="F14" s="36">
        <f>F9+F10+F11+F12+F13</f>
        <v>0</v>
      </c>
      <c r="G14" s="37" t="str">
        <f>IF(OR(F25=0,F25=""),"",F14/F25)</f>
        <v/>
      </c>
      <c r="H14" s="36">
        <f>H9+H10+H11+H12+H13</f>
        <v>0</v>
      </c>
      <c r="I14" s="37" t="str">
        <f>IF(OR(H25=0,H25=""),"",H14/H25)</f>
        <v/>
      </c>
      <c r="J14" s="36">
        <f>J9+J10+J11+J12+J13</f>
        <v>0</v>
      </c>
      <c r="K14" s="37" t="str">
        <f>IF(OR(J25=0,J25=""),"",J14/J25)</f>
        <v/>
      </c>
      <c r="L14" s="36">
        <f>L9+L10+L11+L12+L13</f>
        <v>0</v>
      </c>
      <c r="M14" s="37" t="str">
        <f>IF(OR(L25=0,L25=""),"",L14/L25)</f>
        <v/>
      </c>
    </row>
    <row r="15" spans="1:13" x14ac:dyDescent="0.2">
      <c r="A15" s="23" t="s">
        <v>137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2">
      <c r="A16" s="25" t="s">
        <v>138</v>
      </c>
      <c r="B16" s="26"/>
      <c r="C16" s="31" t="str">
        <f>IF(OR(B25=0,B25=""),"",B16/B25)</f>
        <v/>
      </c>
      <c r="D16" s="26"/>
      <c r="E16" s="31" t="str">
        <f>IF(OR(D25=0,D25=""),"",D16/D25)</f>
        <v/>
      </c>
      <c r="F16" s="26"/>
      <c r="G16" s="31" t="str">
        <f>IF(OR(F25=0,F25=""),"",F16/F25)</f>
        <v/>
      </c>
      <c r="H16" s="26"/>
      <c r="I16" s="31" t="str">
        <f>IF(OR(H25=0,H25=""),"",H16/H25)</f>
        <v/>
      </c>
      <c r="J16" s="26"/>
      <c r="K16" s="31" t="str">
        <f>IF(OR(J25=0,J25=""),"",J16/J25)</f>
        <v/>
      </c>
      <c r="L16" s="26"/>
      <c r="M16" s="31" t="str">
        <f>IF(OR(L25=0,L25=""),"",L16/L25)</f>
        <v/>
      </c>
    </row>
    <row r="17" spans="1:13" x14ac:dyDescent="0.2">
      <c r="A17" s="25" t="s">
        <v>139</v>
      </c>
      <c r="B17" s="26"/>
      <c r="C17" s="31" t="str">
        <f>IF(OR(B25=0,B25=""),"",B17/B25)</f>
        <v/>
      </c>
      <c r="D17" s="26"/>
      <c r="E17" s="31" t="str">
        <f>IF(OR(D25=0,D25=""),"",D17/D25)</f>
        <v/>
      </c>
      <c r="F17" s="26"/>
      <c r="G17" s="31" t="str">
        <f>IF(OR(F25=0,F25=""),"",F17/F25)</f>
        <v/>
      </c>
      <c r="H17" s="26"/>
      <c r="I17" s="31" t="str">
        <f>IF(OR(H25=0,H25=""),"",H17/H25)</f>
        <v/>
      </c>
      <c r="J17" s="26"/>
      <c r="K17" s="31" t="str">
        <f>IF(OR(J25=0,J25=""),"",J17/J25)</f>
        <v/>
      </c>
      <c r="L17" s="26"/>
      <c r="M17" s="31" t="str">
        <f>IF(OR(L25=0,L25=""),"",L17/L25)</f>
        <v/>
      </c>
    </row>
    <row r="18" spans="1:13" x14ac:dyDescent="0.2">
      <c r="A18" s="25" t="s">
        <v>140</v>
      </c>
      <c r="B18" s="26"/>
      <c r="C18" s="31" t="str">
        <f>IF(OR(B25=0,B25=""),"",B18/B25)</f>
        <v/>
      </c>
      <c r="D18" s="26"/>
      <c r="E18" s="31" t="str">
        <f>IF(OR(D25=0,D25=""),"",D18/D25)</f>
        <v/>
      </c>
      <c r="F18" s="26"/>
      <c r="G18" s="31" t="str">
        <f>IF(OR(F25=0,F25=""),"",F18/F25)</f>
        <v/>
      </c>
      <c r="H18" s="26"/>
      <c r="I18" s="31" t="str">
        <f>IF(OR(H25=0,H25=""),"",H18/H25)</f>
        <v/>
      </c>
      <c r="J18" s="26"/>
      <c r="K18" s="31" t="str">
        <f>IF(OR(J25=0,J25=""),"",J18/J25)</f>
        <v/>
      </c>
      <c r="L18" s="26"/>
      <c r="M18" s="31" t="str">
        <f>IF(OR(L25=0,L25=""),"",L18/L25)</f>
        <v/>
      </c>
    </row>
    <row r="19" spans="1:13" x14ac:dyDescent="0.2">
      <c r="A19" s="25" t="s">
        <v>141</v>
      </c>
      <c r="B19" s="26"/>
      <c r="C19" s="31" t="str">
        <f>IF(OR(B25=0,B25=""),"",B19/B25)</f>
        <v/>
      </c>
      <c r="D19" s="26"/>
      <c r="E19" s="31" t="str">
        <f>IF(OR(D25=0,D25=""),"",D19/D25)</f>
        <v/>
      </c>
      <c r="F19" s="26"/>
      <c r="G19" s="31" t="str">
        <f>IF(OR(F25=0,F25=""),"",F19/F25)</f>
        <v/>
      </c>
      <c r="H19" s="26"/>
      <c r="I19" s="31" t="str">
        <f>IF(OR(H25=0,H25=""),"",H19/H25)</f>
        <v/>
      </c>
      <c r="J19" s="26"/>
      <c r="K19" s="31" t="str">
        <f>IF(OR(J25=0,J25=""),"",J19/J25)</f>
        <v/>
      </c>
      <c r="L19" s="26"/>
      <c r="M19" s="31" t="str">
        <f>IF(OR(L25=0,L25=""),"",L19/L25)</f>
        <v/>
      </c>
    </row>
    <row r="20" spans="1:13" x14ac:dyDescent="0.2">
      <c r="A20" s="25" t="s">
        <v>142</v>
      </c>
      <c r="B20" s="26"/>
      <c r="C20" s="31" t="str">
        <f>IF(OR(B25=0,B25=""),"",B20/B25)</f>
        <v/>
      </c>
      <c r="D20" s="26"/>
      <c r="E20" s="31" t="str">
        <f>IF(OR(D25=0,D25=""),"",D20/D25)</f>
        <v/>
      </c>
      <c r="F20" s="26"/>
      <c r="G20" s="31" t="str">
        <f>IF(OR(F25=0,F25=""),"",F20/F25)</f>
        <v/>
      </c>
      <c r="H20" s="26"/>
      <c r="I20" s="31" t="str">
        <f>IF(OR(H25=0,H25=""),"",H20/H25)</f>
        <v/>
      </c>
      <c r="J20" s="26"/>
      <c r="K20" s="31" t="str">
        <f>IF(OR(J25=0,J25=""),"",J20/J25)</f>
        <v/>
      </c>
      <c r="L20" s="26"/>
      <c r="M20" s="31" t="str">
        <f>IF(OR(L25=0,L25=""),"",L20/L25)</f>
        <v/>
      </c>
    </row>
    <row r="21" spans="1:13" x14ac:dyDescent="0.2">
      <c r="A21" s="35" t="s">
        <v>143</v>
      </c>
      <c r="B21" s="36">
        <f>B16+B17+B18+B19+B20</f>
        <v>0</v>
      </c>
      <c r="C21" s="37" t="str">
        <f>IF(OR(B25=0,B25=""),"",B21/B25)</f>
        <v/>
      </c>
      <c r="D21" s="36">
        <f>D16+D17+D18+D19+D20</f>
        <v>0</v>
      </c>
      <c r="E21" s="37" t="str">
        <f>IF(OR(D25=0,D25=""),"",D21/D25)</f>
        <v/>
      </c>
      <c r="F21" s="36">
        <f>F16+F17+F18+F19+F20</f>
        <v>0</v>
      </c>
      <c r="G21" s="37" t="str">
        <f>IF(OR(F25=0,F25=""),"",F21/F25)</f>
        <v/>
      </c>
      <c r="H21" s="36">
        <f>H16+H17+H18+H19+H20</f>
        <v>0</v>
      </c>
      <c r="I21" s="37" t="str">
        <f>IF(OR(H25=0,H25=""),"",H21/H25)</f>
        <v/>
      </c>
      <c r="J21" s="36">
        <f>J16+J17+J18+J19+J20</f>
        <v>0</v>
      </c>
      <c r="K21" s="37" t="str">
        <f>IF(OR(J25=0,J25=""),"",J21/J25)</f>
        <v/>
      </c>
      <c r="L21" s="36">
        <f>L16+L17+L18+L19+L20</f>
        <v>0</v>
      </c>
      <c r="M21" s="37" t="str">
        <f>IF(OR(L25=0,L25=""),"",L21/L25)</f>
        <v/>
      </c>
    </row>
    <row r="22" spans="1:13" x14ac:dyDescent="0.2">
      <c r="A22" s="25" t="s">
        <v>144</v>
      </c>
      <c r="B22" s="26"/>
      <c r="C22" s="31" t="str">
        <f>IF(OR(B25=0,B25=""),"",B22/B25)</f>
        <v/>
      </c>
      <c r="D22" s="26"/>
      <c r="E22" s="31" t="str">
        <f>IF(OR(D25=0,D25=""),"",D22/D25)</f>
        <v/>
      </c>
      <c r="F22" s="26"/>
      <c r="G22" s="31" t="str">
        <f>IF(OR(F25=0,F25=""),"",F22/F25)</f>
        <v/>
      </c>
      <c r="H22" s="26"/>
      <c r="I22" s="31" t="str">
        <f>IF(OR(H25=0,H25=""),"",H22/H25)</f>
        <v/>
      </c>
      <c r="J22" s="26"/>
      <c r="K22" s="31" t="str">
        <f>IF(OR(J25=0,J25=""),"",J22/J25)</f>
        <v/>
      </c>
      <c r="L22" s="26"/>
      <c r="M22" s="31" t="str">
        <f>IF(OR(L25=0,L25=""),"",L22/L25)</f>
        <v/>
      </c>
    </row>
    <row r="23" spans="1:13" x14ac:dyDescent="0.2">
      <c r="A23" s="25" t="s">
        <v>145</v>
      </c>
      <c r="B23" s="26"/>
      <c r="C23" s="31" t="str">
        <f>IF(OR(B25=0,B25=""),"",B23/B25)</f>
        <v/>
      </c>
      <c r="D23" s="26"/>
      <c r="E23" s="31" t="str">
        <f>IF(OR(D25=0,D25=""),"",D23/D25)</f>
        <v/>
      </c>
      <c r="F23" s="26"/>
      <c r="G23" s="31" t="str">
        <f>IF(OR(F25=0,F25=""),"",F23/F25)</f>
        <v/>
      </c>
      <c r="H23" s="26"/>
      <c r="I23" s="31" t="str">
        <f>IF(OR(H25=0,H25=""),"",H23/H25)</f>
        <v/>
      </c>
      <c r="J23" s="26"/>
      <c r="K23" s="31" t="str">
        <f>IF(OR(J25=0,J25=""),"",J23/J25)</f>
        <v/>
      </c>
      <c r="L23" s="26"/>
      <c r="M23" s="31" t="str">
        <f>IF(OR(L25=0,L25=""),"",L23/L25)</f>
        <v/>
      </c>
    </row>
    <row r="24" spans="1:13" x14ac:dyDescent="0.2">
      <c r="A24" s="25" t="s">
        <v>146</v>
      </c>
      <c r="B24" s="26"/>
      <c r="C24" s="31" t="str">
        <f>IF(OR(B25=0,B25=""),"",B24/B25)</f>
        <v/>
      </c>
      <c r="D24" s="26"/>
      <c r="E24" s="31" t="str">
        <f>IF(OR(D25=0,D25=""),"",D24/D25)</f>
        <v/>
      </c>
      <c r="F24" s="26"/>
      <c r="G24" s="31" t="str">
        <f>IF(OR(F25=0,F25=""),"",F24/F25)</f>
        <v/>
      </c>
      <c r="H24" s="26"/>
      <c r="I24" s="31" t="str">
        <f>IF(OR(H25=0,H25=""),"",H24/H25)</f>
        <v/>
      </c>
      <c r="J24" s="26"/>
      <c r="K24" s="31" t="str">
        <f>IF(OR(J25=0,J25=""),"",J24/J25)</f>
        <v/>
      </c>
      <c r="L24" s="26"/>
      <c r="M24" s="31" t="str">
        <f>IF(OR(L25=0,L25=""),"",L24/L25)</f>
        <v/>
      </c>
    </row>
    <row r="25" spans="1:13" x14ac:dyDescent="0.2">
      <c r="A25" s="32" t="s">
        <v>147</v>
      </c>
      <c r="B25" s="33">
        <f>B14+B21+B22+B23-B24</f>
        <v>0</v>
      </c>
      <c r="C25" s="34" t="str">
        <f>IF(OR(B25=0,B25=""),"",B25/B25)</f>
        <v/>
      </c>
      <c r="D25" s="33">
        <f>D14+D21+D22+D23-D24</f>
        <v>0</v>
      </c>
      <c r="E25" s="34" t="str">
        <f>IF(OR(D25=0,D25=""),"",D25/D25)</f>
        <v/>
      </c>
      <c r="F25" s="33">
        <f>F14+F21+F22+F23-F24</f>
        <v>0</v>
      </c>
      <c r="G25" s="34" t="str">
        <f>IF(OR(F25=0,F25=""),"",F25/F25)</f>
        <v/>
      </c>
      <c r="H25" s="33">
        <f>H14+H21+H22+H23-H24</f>
        <v>0</v>
      </c>
      <c r="I25" s="34" t="str">
        <f>IF(OR(H25=0,H25=""),"",H25/H25)</f>
        <v/>
      </c>
      <c r="J25" s="33">
        <f>J14+J21+J22+J23-J24</f>
        <v>0</v>
      </c>
      <c r="K25" s="34" t="str">
        <f>IF(OR(J25=0,J25=""),"",J25/J25)</f>
        <v/>
      </c>
      <c r="L25" s="33">
        <f>L14+L21+L22+L23-L24</f>
        <v>0</v>
      </c>
      <c r="M25" s="34" t="str">
        <f>IF(OR(L25=0,L25=""),"",L25/L25)</f>
        <v/>
      </c>
    </row>
    <row r="26" spans="1:13" x14ac:dyDescent="0.2">
      <c r="A26" s="23" t="s">
        <v>148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 x14ac:dyDescent="0.2">
      <c r="A27" s="23" t="s">
        <v>149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2">
      <c r="A28" s="23" t="s">
        <v>150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x14ac:dyDescent="0.2">
      <c r="A29" s="23" t="s">
        <v>151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 x14ac:dyDescent="0.2">
      <c r="A30" s="25" t="s">
        <v>152</v>
      </c>
      <c r="B30" s="26"/>
      <c r="D30" s="26"/>
      <c r="F30" s="26"/>
      <c r="H30" s="26"/>
      <c r="J30" s="26"/>
      <c r="L30" s="26"/>
    </row>
    <row r="31" spans="1:13" x14ac:dyDescent="0.2">
      <c r="A31" s="23" t="s">
        <v>153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 x14ac:dyDescent="0.2">
      <c r="A32" s="25" t="s">
        <v>154</v>
      </c>
      <c r="B32" s="26"/>
      <c r="D32" s="26"/>
      <c r="F32" s="26"/>
      <c r="H32" s="26"/>
      <c r="J32" s="26"/>
      <c r="L32" s="26"/>
    </row>
    <row r="33" spans="1:13" x14ac:dyDescent="0.2">
      <c r="A33" s="25" t="s">
        <v>155</v>
      </c>
      <c r="B33" s="26"/>
      <c r="D33" s="26"/>
      <c r="F33" s="26"/>
      <c r="H33" s="26"/>
      <c r="J33" s="26"/>
      <c r="L33" s="26"/>
    </row>
    <row r="34" spans="1:13" x14ac:dyDescent="0.2">
      <c r="A34" s="25" t="s">
        <v>156</v>
      </c>
      <c r="B34" s="26"/>
      <c r="D34" s="26"/>
      <c r="F34" s="26"/>
      <c r="H34" s="26"/>
      <c r="J34" s="26"/>
      <c r="L34" s="26"/>
    </row>
    <row r="35" spans="1:13" x14ac:dyDescent="0.2">
      <c r="A35" s="25" t="s">
        <v>157</v>
      </c>
      <c r="B35" s="26"/>
      <c r="D35" s="26"/>
      <c r="F35" s="26"/>
      <c r="H35" s="26"/>
      <c r="J35" s="26"/>
      <c r="L35" s="26"/>
    </row>
    <row r="36" spans="1:13" x14ac:dyDescent="0.2">
      <c r="A36" s="25" t="s">
        <v>158</v>
      </c>
      <c r="B36" s="26"/>
      <c r="D36" s="26"/>
      <c r="F36" s="26"/>
      <c r="H36" s="26"/>
      <c r="J36" s="26"/>
      <c r="L36" s="26"/>
    </row>
    <row r="37" spans="1:13" x14ac:dyDescent="0.2">
      <c r="A37" s="25" t="s">
        <v>159</v>
      </c>
      <c r="B37" s="26"/>
      <c r="D37" s="26"/>
      <c r="F37" s="26"/>
      <c r="H37" s="26"/>
      <c r="J37" s="26"/>
      <c r="L37" s="26"/>
    </row>
    <row r="38" spans="1:13" x14ac:dyDescent="0.2">
      <c r="A38" s="35" t="s">
        <v>160</v>
      </c>
      <c r="B38" s="36">
        <f>B30+B32+B33+B34+B35+B36+B37</f>
        <v>0</v>
      </c>
      <c r="C38" s="41"/>
      <c r="D38" s="36">
        <f>D30+D32+D33+D34+D35+D36+D37</f>
        <v>0</v>
      </c>
      <c r="E38" s="41"/>
      <c r="F38" s="36">
        <f>F30+F32+F33+F34+F35+F36+F37</f>
        <v>0</v>
      </c>
      <c r="G38" s="41"/>
      <c r="H38" s="36">
        <f>H30+H32+H33+H34+H35+H36+H37</f>
        <v>0</v>
      </c>
      <c r="I38" s="41"/>
      <c r="J38" s="36">
        <f>J30+J32+J33+J34+J35+J36+J37</f>
        <v>0</v>
      </c>
      <c r="K38" s="41"/>
      <c r="L38" s="36">
        <f>L30+L32+L33+L34+L35+L36+L37</f>
        <v>0</v>
      </c>
      <c r="M38" s="41"/>
    </row>
    <row r="39" spans="1:13" x14ac:dyDescent="0.2">
      <c r="A39" s="25" t="s">
        <v>161</v>
      </c>
      <c r="B39" s="26"/>
      <c r="D39" s="26"/>
      <c r="F39" s="26"/>
      <c r="H39" s="26"/>
      <c r="J39" s="26"/>
      <c r="L39" s="26"/>
    </row>
    <row r="40" spans="1:13" x14ac:dyDescent="0.2">
      <c r="A40" s="25" t="s">
        <v>162</v>
      </c>
      <c r="B40" s="26"/>
      <c r="D40" s="26"/>
      <c r="F40" s="26"/>
      <c r="H40" s="26"/>
      <c r="J40" s="26"/>
      <c r="L40" s="26"/>
    </row>
    <row r="41" spans="1:13" x14ac:dyDescent="0.2">
      <c r="A41" s="25" t="s">
        <v>163</v>
      </c>
      <c r="B41" s="26"/>
      <c r="D41" s="26"/>
      <c r="F41" s="26"/>
      <c r="H41" s="26"/>
      <c r="J41" s="26"/>
      <c r="L41" s="26"/>
    </row>
    <row r="42" spans="1:13" x14ac:dyDescent="0.2">
      <c r="A42" s="35" t="s">
        <v>164</v>
      </c>
      <c r="B42" s="36">
        <f>B38+B39+B40+B41</f>
        <v>0</v>
      </c>
      <c r="C42" s="37" t="str">
        <f>IF(OR(B25=0,B25=""),"",B42/B25)</f>
        <v/>
      </c>
      <c r="D42" s="36">
        <f>D38+D39+D40+D41</f>
        <v>0</v>
      </c>
      <c r="E42" s="37" t="str">
        <f>IF(OR(D25=0,D25=""),"",D42/D25)</f>
        <v/>
      </c>
      <c r="F42" s="36">
        <f>F38+F39+F40+F41</f>
        <v>0</v>
      </c>
      <c r="G42" s="37" t="str">
        <f>IF(OR(F25=0,F25=""),"",F42/F25)</f>
        <v/>
      </c>
      <c r="H42" s="36">
        <f>H38+H39+H40+H41</f>
        <v>0</v>
      </c>
      <c r="I42" s="37" t="str">
        <f>IF(OR(H25=0,H25=""),"",H42/H25)</f>
        <v/>
      </c>
      <c r="J42" s="36">
        <f>J38+J39+J40+J41</f>
        <v>0</v>
      </c>
      <c r="K42" s="37" t="str">
        <f>IF(OR(J25=0,J25=""),"",J42/J25)</f>
        <v/>
      </c>
      <c r="L42" s="36">
        <f>L38+L39+L40+L41</f>
        <v>0</v>
      </c>
      <c r="M42" s="37" t="str">
        <f>IF(OR(L25=0,L25=""),"",L42/L25)</f>
        <v/>
      </c>
    </row>
    <row r="43" spans="1:13" x14ac:dyDescent="0.2">
      <c r="A43" s="23" t="s">
        <v>165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 x14ac:dyDescent="0.2">
      <c r="A44" s="25" t="s">
        <v>166</v>
      </c>
      <c r="B44" s="26"/>
      <c r="C44" s="31" t="str">
        <f>IF(OR(B25=0,B25=""),"",B44/B25)</f>
        <v/>
      </c>
      <c r="D44" s="26"/>
      <c r="E44" s="31" t="str">
        <f>IF(OR(D25=0,D25=""),"",D44/D25)</f>
        <v/>
      </c>
      <c r="F44" s="26"/>
      <c r="G44" s="31" t="str">
        <f>IF(OR(F25=0,F25=""),"",F44/F25)</f>
        <v/>
      </c>
      <c r="H44" s="26"/>
      <c r="I44" s="31" t="str">
        <f>IF(OR(H25=0,H25=""),"",H44/H25)</f>
        <v/>
      </c>
      <c r="J44" s="26"/>
      <c r="K44" s="31" t="str">
        <f>IF(OR(J25=0,J25=""),"",J44/J25)</f>
        <v/>
      </c>
      <c r="L44" s="26"/>
      <c r="M44" s="31" t="str">
        <f>IF(OR(L25=0,L25=""),"",L44/L25)</f>
        <v/>
      </c>
    </row>
    <row r="45" spans="1:13" x14ac:dyDescent="0.2">
      <c r="A45" s="25" t="s">
        <v>167</v>
      </c>
      <c r="B45" s="26"/>
      <c r="C45" s="31" t="str">
        <f>IF(OR(B25=0,B25=""),"",B45/B25)</f>
        <v/>
      </c>
      <c r="D45" s="26"/>
      <c r="E45" s="31" t="str">
        <f>IF(OR(D25=0,D25=""),"",D45/D25)</f>
        <v/>
      </c>
      <c r="F45" s="26"/>
      <c r="G45" s="31" t="str">
        <f>IF(OR(F25=0,F25=""),"",F45/F25)</f>
        <v/>
      </c>
      <c r="H45" s="26"/>
      <c r="I45" s="31" t="str">
        <f>IF(OR(H25=0,H25=""),"",H45/H25)</f>
        <v/>
      </c>
      <c r="J45" s="26"/>
      <c r="K45" s="31" t="str">
        <f>IF(OR(J25=0,J25=""),"",J45/J25)</f>
        <v/>
      </c>
      <c r="L45" s="26"/>
      <c r="M45" s="31" t="str">
        <f>IF(OR(L25=0,L25=""),"",L45/L25)</f>
        <v/>
      </c>
    </row>
    <row r="46" spans="1:13" x14ac:dyDescent="0.2">
      <c r="A46" s="25" t="s">
        <v>168</v>
      </c>
      <c r="B46" s="26"/>
      <c r="C46" s="31" t="str">
        <f>IF(OR(B25=0,B25=""),"",B46/B25)</f>
        <v/>
      </c>
      <c r="D46" s="26"/>
      <c r="E46" s="31" t="str">
        <f>IF(OR(D25=0,D25=""),"",D46/D25)</f>
        <v/>
      </c>
      <c r="F46" s="26"/>
      <c r="G46" s="31" t="str">
        <f>IF(OR(F25=0,F25=""),"",F46/F25)</f>
        <v/>
      </c>
      <c r="H46" s="26"/>
      <c r="I46" s="31" t="str">
        <f>IF(OR(H25=0,H25=""),"",H46/H25)</f>
        <v/>
      </c>
      <c r="J46" s="26"/>
      <c r="K46" s="31" t="str">
        <f>IF(OR(J25=0,J25=""),"",J46/J25)</f>
        <v/>
      </c>
      <c r="L46" s="26"/>
      <c r="M46" s="31" t="str">
        <f>IF(OR(L25=0,L25=""),"",L46/L25)</f>
        <v/>
      </c>
    </row>
    <row r="47" spans="1:13" x14ac:dyDescent="0.2">
      <c r="A47" s="35" t="s">
        <v>169</v>
      </c>
      <c r="B47" s="36">
        <f>B44+B45+B46</f>
        <v>0</v>
      </c>
      <c r="C47" s="37" t="str">
        <f>IF(OR(B25=0,B25=""),"",B47/B25)</f>
        <v/>
      </c>
      <c r="D47" s="36">
        <f>D44+D45+D46</f>
        <v>0</v>
      </c>
      <c r="E47" s="37" t="str">
        <f>IF(OR(D25=0,D25=""),"",D47/D25)</f>
        <v/>
      </c>
      <c r="F47" s="36">
        <f>F44+F45+F46</f>
        <v>0</v>
      </c>
      <c r="G47" s="37" t="str">
        <f>IF(OR(F25=0,F25=""),"",F47/F25)</f>
        <v/>
      </c>
      <c r="H47" s="36">
        <f>H44+H45+H46</f>
        <v>0</v>
      </c>
      <c r="I47" s="37" t="str">
        <f>IF(OR(H25=0,H25=""),"",H47/H25)</f>
        <v/>
      </c>
      <c r="J47" s="36">
        <f>J44+J45+J46</f>
        <v>0</v>
      </c>
      <c r="K47" s="37" t="str">
        <f>IF(OR(J25=0,J25=""),"",J47/J25)</f>
        <v/>
      </c>
      <c r="L47" s="36">
        <f>L44+L45+L46</f>
        <v>0</v>
      </c>
      <c r="M47" s="37" t="str">
        <f>IF(OR(L25=0,L25=""),"",L47/L25)</f>
        <v/>
      </c>
    </row>
    <row r="48" spans="1:13" x14ac:dyDescent="0.2">
      <c r="A48" s="35" t="s">
        <v>170</v>
      </c>
      <c r="B48" s="36">
        <f>B42+B47</f>
        <v>0</v>
      </c>
      <c r="C48" s="37" t="str">
        <f>IF(OR(B25=0,B25=""),"",B48/B25)</f>
        <v/>
      </c>
      <c r="D48" s="36">
        <f>D42+D47</f>
        <v>0</v>
      </c>
      <c r="E48" s="37" t="str">
        <f>IF(OR(D25=0,D25=""),"",D48/D25)</f>
        <v/>
      </c>
      <c r="F48" s="36">
        <f>F42+F47</f>
        <v>0</v>
      </c>
      <c r="G48" s="37" t="str">
        <f>IF(OR(F25=0,F25=""),"",F48/F25)</f>
        <v/>
      </c>
      <c r="H48" s="36">
        <f>H42+H47</f>
        <v>0</v>
      </c>
      <c r="I48" s="37" t="str">
        <f>IF(OR(H25=0,H25=""),"",H48/H25)</f>
        <v/>
      </c>
      <c r="J48" s="36">
        <f>J42+J47</f>
        <v>0</v>
      </c>
      <c r="K48" s="37" t="str">
        <f>IF(OR(J25=0,J25=""),"",J48/J25)</f>
        <v/>
      </c>
      <c r="L48" s="36">
        <f>L42+L47</f>
        <v>0</v>
      </c>
      <c r="M48" s="37" t="str">
        <f>IF(OR(L25=0,L25=""),"",L48/L25)</f>
        <v/>
      </c>
    </row>
    <row r="49" spans="1:13" x14ac:dyDescent="0.2">
      <c r="A49" s="23" t="s">
        <v>171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1:13" x14ac:dyDescent="0.2">
      <c r="A50" s="25" t="s">
        <v>172</v>
      </c>
      <c r="B50" s="26"/>
      <c r="C50" s="31" t="str">
        <f>IF(OR(B25=0,B25=""),"",B50/B25)</f>
        <v/>
      </c>
      <c r="D50" s="26"/>
      <c r="E50" s="31" t="str">
        <f>IF(OR(D25=0,D25=""),"",D50/D25)</f>
        <v/>
      </c>
      <c r="F50" s="26"/>
      <c r="G50" s="31" t="str">
        <f>IF(OR(F25=0,F25=""),"",F50/F25)</f>
        <v/>
      </c>
      <c r="H50" s="26"/>
      <c r="I50" s="31" t="str">
        <f>IF(OR(H25=0,H25=""),"",H50/H25)</f>
        <v/>
      </c>
      <c r="J50" s="26"/>
      <c r="K50" s="31" t="str">
        <f>IF(OR(J25=0,J25=""),"",J50/J25)</f>
        <v/>
      </c>
      <c r="L50" s="26"/>
      <c r="M50" s="31" t="str">
        <f>IF(OR(L25=0,L25=""),"",L50/L25)</f>
        <v/>
      </c>
    </row>
    <row r="51" spans="1:13" x14ac:dyDescent="0.2">
      <c r="A51" s="25" t="s">
        <v>173</v>
      </c>
      <c r="B51" s="26"/>
      <c r="C51" s="31" t="str">
        <f>IF(OR(B25=0,B25=""),"",B51/B25)</f>
        <v/>
      </c>
      <c r="D51" s="26"/>
      <c r="E51" s="31" t="str">
        <f>IF(OR(D25=0,D25=""),"",D51/D25)</f>
        <v/>
      </c>
      <c r="F51" s="26"/>
      <c r="G51" s="31" t="str">
        <f>IF(OR(F25=0,F25=""),"",F51/F25)</f>
        <v/>
      </c>
      <c r="H51" s="26"/>
      <c r="I51" s="31" t="str">
        <f>IF(OR(H25=0,H25=""),"",H51/H25)</f>
        <v/>
      </c>
      <c r="J51" s="26"/>
      <c r="K51" s="31" t="str">
        <f>IF(OR(J25=0,J25=""),"",J51/J25)</f>
        <v/>
      </c>
      <c r="L51" s="26"/>
      <c r="M51" s="31" t="str">
        <f>IF(OR(L25=0,L25=""),"",L51/L25)</f>
        <v/>
      </c>
    </row>
    <row r="52" spans="1:13" x14ac:dyDescent="0.2">
      <c r="A52" s="25" t="s">
        <v>174</v>
      </c>
      <c r="B52" s="26"/>
      <c r="C52" s="31" t="str">
        <f>IF(OR(B25=0,B25=""),"",B52/B25)</f>
        <v/>
      </c>
      <c r="D52" s="26"/>
      <c r="E52" s="31" t="str">
        <f>IF(OR(D25=0,D25=""),"",D52/D25)</f>
        <v/>
      </c>
      <c r="F52" s="26"/>
      <c r="G52" s="31" t="str">
        <f>IF(OR(F25=0,F25=""),"",F52/F25)</f>
        <v/>
      </c>
      <c r="H52" s="26"/>
      <c r="I52" s="31" t="str">
        <f>IF(OR(H25=0,H25=""),"",H52/H25)</f>
        <v/>
      </c>
      <c r="J52" s="26"/>
      <c r="K52" s="31" t="str">
        <f>IF(OR(J25=0,J25=""),"",J52/J25)</f>
        <v/>
      </c>
      <c r="L52" s="26"/>
      <c r="M52" s="31" t="str">
        <f>IF(OR(L25=0,L25=""),"",L52/L25)</f>
        <v/>
      </c>
    </row>
    <row r="53" spans="1:13" x14ac:dyDescent="0.2">
      <c r="A53" s="25" t="s">
        <v>175</v>
      </c>
      <c r="B53" s="26"/>
      <c r="C53" s="31" t="str">
        <f>IF(OR(B25=0,B25=""),"",B53/B25)</f>
        <v/>
      </c>
      <c r="D53" s="26"/>
      <c r="E53" s="31" t="str">
        <f>IF(OR(D25=0,D25=""),"",D53/D25)</f>
        <v/>
      </c>
      <c r="F53" s="26"/>
      <c r="G53" s="31" t="str">
        <f>IF(OR(F25=0,F25=""),"",F53/F25)</f>
        <v/>
      </c>
      <c r="H53" s="26"/>
      <c r="I53" s="31" t="str">
        <f>IF(OR(H25=0,H25=""),"",H53/H25)</f>
        <v/>
      </c>
      <c r="J53" s="26"/>
      <c r="K53" s="31" t="str">
        <f>IF(OR(J25=0,J25=""),"",J53/J25)</f>
        <v/>
      </c>
      <c r="L53" s="26"/>
      <c r="M53" s="31" t="str">
        <f>IF(OR(L25=0,L25=""),"",L53/L25)</f>
        <v/>
      </c>
    </row>
    <row r="54" spans="1:13" x14ac:dyDescent="0.2">
      <c r="A54" s="25" t="s">
        <v>176</v>
      </c>
      <c r="B54" s="26"/>
      <c r="C54" s="31" t="str">
        <f>IF(OR(B25=0,B25=""),"",B54/B25)</f>
        <v/>
      </c>
      <c r="D54" s="26"/>
      <c r="E54" s="31" t="str">
        <f>IF(OR(D25=0,D25=""),"",D54/D25)</f>
        <v/>
      </c>
      <c r="F54" s="26"/>
      <c r="G54" s="31" t="str">
        <f>IF(OR(F25=0,F25=""),"",F54/F25)</f>
        <v/>
      </c>
      <c r="H54" s="26"/>
      <c r="I54" s="31" t="str">
        <f>IF(OR(H25=0,H25=""),"",H54/H25)</f>
        <v/>
      </c>
      <c r="J54" s="26"/>
      <c r="K54" s="31" t="str">
        <f>IF(OR(J25=0,J25=""),"",J54/J25)</f>
        <v/>
      </c>
      <c r="L54" s="26"/>
      <c r="M54" s="31" t="str">
        <f>IF(OR(L25=0,L25=""),"",L54/L25)</f>
        <v/>
      </c>
    </row>
    <row r="55" spans="1:13" x14ac:dyDescent="0.2">
      <c r="A55" s="25" t="s">
        <v>177</v>
      </c>
      <c r="B55" s="26"/>
      <c r="C55" s="31" t="str">
        <f>IF(OR(B25=0,B25=""),"",B55/B25)</f>
        <v/>
      </c>
      <c r="D55" s="26"/>
      <c r="E55" s="31" t="str">
        <f>IF(OR(D25=0,D25=""),"",D55/D25)</f>
        <v/>
      </c>
      <c r="F55" s="26"/>
      <c r="G55" s="31" t="str">
        <f>IF(OR(F25=0,F25=""),"",F55/F25)</f>
        <v/>
      </c>
      <c r="H55" s="26"/>
      <c r="I55" s="31" t="str">
        <f>IF(OR(H25=0,H25=""),"",H55/H25)</f>
        <v/>
      </c>
      <c r="J55" s="26"/>
      <c r="K55" s="31" t="str">
        <f>IF(OR(J25=0,J25=""),"",J55/J25)</f>
        <v/>
      </c>
      <c r="L55" s="26"/>
      <c r="M55" s="31" t="str">
        <f>IF(OR(L25=0,L25=""),"",L55/L25)</f>
        <v/>
      </c>
    </row>
    <row r="56" spans="1:13" x14ac:dyDescent="0.2">
      <c r="A56" s="25" t="s">
        <v>178</v>
      </c>
      <c r="B56" s="26"/>
      <c r="C56" s="31" t="str">
        <f>IF(OR(B25=0,B25=""),"",B56/B25)</f>
        <v/>
      </c>
      <c r="D56" s="26"/>
      <c r="E56" s="31" t="str">
        <f>IF(OR(D25=0,D25=""),"",D56/D25)</f>
        <v/>
      </c>
      <c r="F56" s="26"/>
      <c r="G56" s="31" t="str">
        <f>IF(OR(F25=0,F25=""),"",F56/F25)</f>
        <v/>
      </c>
      <c r="H56" s="26"/>
      <c r="I56" s="31" t="str">
        <f>IF(OR(H25=0,H25=""),"",H56/H25)</f>
        <v/>
      </c>
      <c r="J56" s="26"/>
      <c r="K56" s="31" t="str">
        <f>IF(OR(J25=0,J25=""),"",J56/J25)</f>
        <v/>
      </c>
      <c r="L56" s="26"/>
      <c r="M56" s="31" t="str">
        <f>IF(OR(L25=0,L25=""),"",L56/L25)</f>
        <v/>
      </c>
    </row>
    <row r="57" spans="1:13" x14ac:dyDescent="0.2">
      <c r="A57" s="25" t="s">
        <v>179</v>
      </c>
      <c r="B57" s="26"/>
      <c r="C57" s="31" t="str">
        <f>IF(OR(B25=0,B25=""),"",B57/B25)</f>
        <v/>
      </c>
      <c r="D57" s="26"/>
      <c r="E57" s="31" t="str">
        <f>IF(OR(D25=0,D25=""),"",D57/D25)</f>
        <v/>
      </c>
      <c r="F57" s="26"/>
      <c r="G57" s="31" t="str">
        <f>IF(OR(F25=0,F25=""),"",F57/F25)</f>
        <v/>
      </c>
      <c r="H57" s="26"/>
      <c r="I57" s="31" t="str">
        <f>IF(OR(H25=0,H25=""),"",H57/H25)</f>
        <v/>
      </c>
      <c r="J57" s="26"/>
      <c r="K57" s="31" t="str">
        <f>IF(OR(J25=0,J25=""),"",J57/J25)</f>
        <v/>
      </c>
      <c r="L57" s="26"/>
      <c r="M57" s="31" t="str">
        <f>IF(OR(L25=0,L25=""),"",L57/L25)</f>
        <v/>
      </c>
    </row>
    <row r="58" spans="1:13" x14ac:dyDescent="0.2">
      <c r="A58" s="25" t="s">
        <v>180</v>
      </c>
      <c r="B58" s="26"/>
      <c r="C58" s="31" t="str">
        <f>IF(OR(B25=0,B25=""),"",B58/B25)</f>
        <v/>
      </c>
      <c r="D58" s="26"/>
      <c r="E58" s="31" t="str">
        <f>IF(OR(D25=0,D25=""),"",D58/D25)</f>
        <v/>
      </c>
      <c r="F58" s="26"/>
      <c r="G58" s="31" t="str">
        <f>IF(OR(F25=0,F25=""),"",F58/F25)</f>
        <v/>
      </c>
      <c r="H58" s="26"/>
      <c r="I58" s="31" t="str">
        <f>IF(OR(H25=0,H25=""),"",H58/H25)</f>
        <v/>
      </c>
      <c r="J58" s="26"/>
      <c r="K58" s="31" t="str">
        <f>IF(OR(J25=0,J25=""),"",J58/J25)</f>
        <v/>
      </c>
      <c r="L58" s="26"/>
      <c r="M58" s="31" t="str">
        <f>IF(OR(L25=0,L25=""),"",L58/L25)</f>
        <v/>
      </c>
    </row>
    <row r="59" spans="1:13" x14ac:dyDescent="0.2">
      <c r="A59" s="25" t="s">
        <v>181</v>
      </c>
      <c r="B59" s="26"/>
      <c r="C59" s="31" t="str">
        <f>IF(OR(B25=0,B25=""),"",B59/B25)</f>
        <v/>
      </c>
      <c r="D59" s="26"/>
      <c r="E59" s="31" t="str">
        <f>IF(OR(D25=0,D25=""),"",D59/D25)</f>
        <v/>
      </c>
      <c r="F59" s="26"/>
      <c r="G59" s="31" t="str">
        <f>IF(OR(F25=0,F25=""),"",F59/F25)</f>
        <v/>
      </c>
      <c r="H59" s="26"/>
      <c r="I59" s="31" t="str">
        <f>IF(OR(H25=0,H25=""),"",H59/H25)</f>
        <v/>
      </c>
      <c r="J59" s="26"/>
      <c r="K59" s="31" t="str">
        <f>IF(OR(J25=0,J25=""),"",J59/J25)</f>
        <v/>
      </c>
      <c r="L59" s="26"/>
      <c r="M59" s="31" t="str">
        <f>IF(OR(L25=0,L25=""),"",L59/L25)</f>
        <v/>
      </c>
    </row>
    <row r="60" spans="1:13" x14ac:dyDescent="0.2">
      <c r="A60" s="25" t="s">
        <v>182</v>
      </c>
      <c r="B60" s="26"/>
      <c r="C60" s="31" t="str">
        <f>IF(OR(B25=0,B25=""),"",B60/B25)</f>
        <v/>
      </c>
      <c r="D60" s="26"/>
      <c r="E60" s="31" t="str">
        <f>IF(OR(D25=0,D25=""),"",D60/D25)</f>
        <v/>
      </c>
      <c r="F60" s="26"/>
      <c r="G60" s="31" t="str">
        <f>IF(OR(F25=0,F25=""),"",F60/F25)</f>
        <v/>
      </c>
      <c r="H60" s="26"/>
      <c r="I60" s="31" t="str">
        <f>IF(OR(H25=0,H25=""),"",H60/H25)</f>
        <v/>
      </c>
      <c r="J60" s="26"/>
      <c r="K60" s="31" t="str">
        <f>IF(OR(J25=0,J25=""),"",J60/J25)</f>
        <v/>
      </c>
      <c r="L60" s="26"/>
      <c r="M60" s="31" t="str">
        <f>IF(OR(L25=0,L25=""),"",L60/L25)</f>
        <v/>
      </c>
    </row>
    <row r="61" spans="1:13" x14ac:dyDescent="0.2">
      <c r="A61" s="25" t="s">
        <v>183</v>
      </c>
      <c r="B61" s="26"/>
      <c r="C61" s="31" t="str">
        <f>IF(OR(B25=0,B25=""),"",B61/B25)</f>
        <v/>
      </c>
      <c r="D61" s="26"/>
      <c r="E61" s="31" t="str">
        <f>IF(OR(D25=0,D25=""),"",D61/D25)</f>
        <v/>
      </c>
      <c r="F61" s="26"/>
      <c r="G61" s="31" t="str">
        <f>IF(OR(F25=0,F25=""),"",F61/F25)</f>
        <v/>
      </c>
      <c r="H61" s="26"/>
      <c r="I61" s="31" t="str">
        <f>IF(OR(H25=0,H25=""),"",H61/H25)</f>
        <v/>
      </c>
      <c r="J61" s="26"/>
      <c r="K61" s="31" t="str">
        <f>IF(OR(J25=0,J25=""),"",J61/J25)</f>
        <v/>
      </c>
      <c r="L61" s="26"/>
      <c r="M61" s="31" t="str">
        <f>IF(OR(L25=0,L25=""),"",L61/L25)</f>
        <v/>
      </c>
    </row>
    <row r="62" spans="1:13" x14ac:dyDescent="0.2">
      <c r="A62" s="25" t="s">
        <v>184</v>
      </c>
      <c r="B62" s="26"/>
      <c r="C62" s="31" t="str">
        <f>IF(OR(B25=0,B25=""),"",B62/B25)</f>
        <v/>
      </c>
      <c r="D62" s="26"/>
      <c r="E62" s="31" t="str">
        <f>IF(OR(D25=0,D25=""),"",D62/D25)</f>
        <v/>
      </c>
      <c r="F62" s="26"/>
      <c r="G62" s="31" t="str">
        <f>IF(OR(F25=0,F25=""),"",F62/F25)</f>
        <v/>
      </c>
      <c r="H62" s="26"/>
      <c r="I62" s="31" t="str">
        <f>IF(OR(H25=0,H25=""),"",H62/H25)</f>
        <v/>
      </c>
      <c r="J62" s="26"/>
      <c r="K62" s="31" t="str">
        <f>IF(OR(J25=0,J25=""),"",J62/J25)</f>
        <v/>
      </c>
      <c r="L62" s="26"/>
      <c r="M62" s="31" t="str">
        <f>IF(OR(L25=0,L25=""),"",L62/L25)</f>
        <v/>
      </c>
    </row>
    <row r="63" spans="1:13" x14ac:dyDescent="0.2">
      <c r="A63" s="25" t="s">
        <v>185</v>
      </c>
      <c r="B63" s="26"/>
      <c r="C63" s="31" t="str">
        <f>IF(OR(B25=0,B25=""),"",B63/B25)</f>
        <v/>
      </c>
      <c r="D63" s="26"/>
      <c r="E63" s="31" t="str">
        <f>IF(OR(D25=0,D25=""),"",D63/D25)</f>
        <v/>
      </c>
      <c r="F63" s="26"/>
      <c r="G63" s="31" t="str">
        <f>IF(OR(F25=0,F25=""),"",F63/F25)</f>
        <v/>
      </c>
      <c r="H63" s="26"/>
      <c r="I63" s="31" t="str">
        <f>IF(OR(H25=0,H25=""),"",H63/H25)</f>
        <v/>
      </c>
      <c r="J63" s="26"/>
      <c r="K63" s="31" t="str">
        <f>IF(OR(J25=0,J25=""),"",J63/J25)</f>
        <v/>
      </c>
      <c r="L63" s="26"/>
      <c r="M63" s="31" t="str">
        <f>IF(OR(L25=0,L25=""),"",L63/L25)</f>
        <v/>
      </c>
    </row>
    <row r="64" spans="1:13" x14ac:dyDescent="0.2">
      <c r="A64" s="25" t="s">
        <v>186</v>
      </c>
      <c r="B64" s="26"/>
      <c r="C64" s="31" t="str">
        <f>IF(OR(B25=0,B25=""),"",B64/B25)</f>
        <v/>
      </c>
      <c r="D64" s="26"/>
      <c r="E64" s="31" t="str">
        <f>IF(OR(D25=0,D25=""),"",D64/D25)</f>
        <v/>
      </c>
      <c r="F64" s="26"/>
      <c r="G64" s="31" t="str">
        <f>IF(OR(F25=0,F25=""),"",F64/F25)</f>
        <v/>
      </c>
      <c r="H64" s="26"/>
      <c r="I64" s="31" t="str">
        <f>IF(OR(H25=0,H25=""),"",H64/H25)</f>
        <v/>
      </c>
      <c r="J64" s="26"/>
      <c r="K64" s="31" t="str">
        <f>IF(OR(J25=0,J25=""),"",J64/J25)</f>
        <v/>
      </c>
      <c r="L64" s="26"/>
      <c r="M64" s="31" t="str">
        <f>IF(OR(L25=0,L25=""),"",L64/L25)</f>
        <v/>
      </c>
    </row>
    <row r="65" spans="1:13" x14ac:dyDescent="0.2">
      <c r="A65" s="25" t="s">
        <v>187</v>
      </c>
      <c r="B65" s="26"/>
      <c r="C65" s="31" t="str">
        <f>IF(OR(B25=0,B25=""),"",B65/B25)</f>
        <v/>
      </c>
      <c r="D65" s="26"/>
      <c r="E65" s="31" t="str">
        <f>IF(OR(D25=0,D25=""),"",D65/D25)</f>
        <v/>
      </c>
      <c r="F65" s="26"/>
      <c r="G65" s="31" t="str">
        <f>IF(OR(F25=0,F25=""),"",F65/F25)</f>
        <v/>
      </c>
      <c r="H65" s="26"/>
      <c r="I65" s="31" t="str">
        <f>IF(OR(H25=0,H25=""),"",H65/H25)</f>
        <v/>
      </c>
      <c r="J65" s="26"/>
      <c r="K65" s="31" t="str">
        <f>IF(OR(J25=0,J25=""),"",J65/J25)</f>
        <v/>
      </c>
      <c r="L65" s="26"/>
      <c r="M65" s="31" t="str">
        <f>IF(OR(L25=0,L25=""),"",L65/L25)</f>
        <v/>
      </c>
    </row>
    <row r="66" spans="1:13" x14ac:dyDescent="0.2">
      <c r="A66" s="25" t="s">
        <v>188</v>
      </c>
      <c r="B66" s="26"/>
      <c r="C66" s="31" t="str">
        <f>IF(OR(B25=0,B25=""),"",B66/B25)</f>
        <v/>
      </c>
      <c r="D66" s="26"/>
      <c r="E66" s="31" t="str">
        <f>IF(OR(D25=0,D25=""),"",D66/D25)</f>
        <v/>
      </c>
      <c r="F66" s="26"/>
      <c r="G66" s="31" t="str">
        <f>IF(OR(F25=0,F25=""),"",F66/F25)</f>
        <v/>
      </c>
      <c r="H66" s="26"/>
      <c r="I66" s="31" t="str">
        <f>IF(OR(H25=0,H25=""),"",H66/H25)</f>
        <v/>
      </c>
      <c r="J66" s="26"/>
      <c r="K66" s="31" t="str">
        <f>IF(OR(J25=0,J25=""),"",J66/J25)</f>
        <v/>
      </c>
      <c r="L66" s="26"/>
      <c r="M66" s="31" t="str">
        <f>IF(OR(L25=0,L25=""),"",L66/L25)</f>
        <v/>
      </c>
    </row>
    <row r="67" spans="1:13" x14ac:dyDescent="0.2">
      <c r="A67" s="25" t="s">
        <v>189</v>
      </c>
      <c r="B67" s="26"/>
      <c r="C67" s="31" t="str">
        <f>IF(OR(B25=0,B25=""),"",B67/B25)</f>
        <v/>
      </c>
      <c r="D67" s="26"/>
      <c r="E67" s="31" t="str">
        <f>IF(OR(D25=0,D25=""),"",D67/D25)</f>
        <v/>
      </c>
      <c r="F67" s="26"/>
      <c r="G67" s="31" t="str">
        <f>IF(OR(F25=0,F25=""),"",F67/F25)</f>
        <v/>
      </c>
      <c r="H67" s="26"/>
      <c r="I67" s="31" t="str">
        <f>IF(OR(H25=0,H25=""),"",H67/H25)</f>
        <v/>
      </c>
      <c r="J67" s="26"/>
      <c r="K67" s="31" t="str">
        <f>IF(OR(J25=0,J25=""),"",J67/J25)</f>
        <v/>
      </c>
      <c r="L67" s="26"/>
      <c r="M67" s="31" t="str">
        <f>IF(OR(L25=0,L25=""),"",L67/L25)</f>
        <v/>
      </c>
    </row>
    <row r="68" spans="1:13" x14ac:dyDescent="0.2">
      <c r="A68" s="25" t="s">
        <v>190</v>
      </c>
      <c r="B68" s="26"/>
      <c r="C68" s="31" t="str">
        <f>IF(OR(B25=0,B25=""),"",B68/B25)</f>
        <v/>
      </c>
      <c r="D68" s="26"/>
      <c r="E68" s="31" t="str">
        <f>IF(OR(D25=0,D25=""),"",D68/D25)</f>
        <v/>
      </c>
      <c r="F68" s="26"/>
      <c r="G68" s="31" t="str">
        <f>IF(OR(F25=0,F25=""),"",F68/F25)</f>
        <v/>
      </c>
      <c r="H68" s="26"/>
      <c r="I68" s="31" t="str">
        <f>IF(OR(H25=0,H25=""),"",H68/H25)</f>
        <v/>
      </c>
      <c r="J68" s="26"/>
      <c r="K68" s="31" t="str">
        <f>IF(OR(J25=0,J25=""),"",J68/J25)</f>
        <v/>
      </c>
      <c r="L68" s="26"/>
      <c r="M68" s="31" t="str">
        <f>IF(OR(L25=0,L25=""),"",L68/L25)</f>
        <v/>
      </c>
    </row>
    <row r="69" spans="1:13" x14ac:dyDescent="0.2">
      <c r="A69" s="25" t="s">
        <v>191</v>
      </c>
      <c r="B69" s="26"/>
      <c r="C69" s="31" t="str">
        <f>IF(OR(B25=0,B25=""),"",B69/B25)</f>
        <v/>
      </c>
      <c r="D69" s="26"/>
      <c r="E69" s="31" t="str">
        <f>IF(OR(D25=0,D25=""),"",D69/D25)</f>
        <v/>
      </c>
      <c r="F69" s="26"/>
      <c r="G69" s="31" t="str">
        <f>IF(OR(F25=0,F25=""),"",F69/F25)</f>
        <v/>
      </c>
      <c r="H69" s="26"/>
      <c r="I69" s="31" t="str">
        <f>IF(OR(H25=0,H25=""),"",H69/H25)</f>
        <v/>
      </c>
      <c r="J69" s="26"/>
      <c r="K69" s="31" t="str">
        <f>IF(OR(J25=0,J25=""),"",J69/J25)</f>
        <v/>
      </c>
      <c r="L69" s="26"/>
      <c r="M69" s="31" t="str">
        <f>IF(OR(L25=0,L25=""),"",L69/L25)</f>
        <v/>
      </c>
    </row>
    <row r="70" spans="1:13" x14ac:dyDescent="0.2">
      <c r="A70" s="25" t="s">
        <v>192</v>
      </c>
      <c r="B70" s="26"/>
      <c r="C70" s="31" t="str">
        <f>IF(OR(B25=0,B25=""),"",B70/B25)</f>
        <v/>
      </c>
      <c r="D70" s="26"/>
      <c r="E70" s="31" t="str">
        <f>IF(OR(D25=0,D25=""),"",D70/D25)</f>
        <v/>
      </c>
      <c r="F70" s="26"/>
      <c r="G70" s="31" t="str">
        <f>IF(OR(F25=0,F25=""),"",F70/F25)</f>
        <v/>
      </c>
      <c r="H70" s="26"/>
      <c r="I70" s="31" t="str">
        <f>IF(OR(H25=0,H25=""),"",H70/H25)</f>
        <v/>
      </c>
      <c r="J70" s="26"/>
      <c r="K70" s="31" t="str">
        <f>IF(OR(J25=0,J25=""),"",J70/J25)</f>
        <v/>
      </c>
      <c r="L70" s="26"/>
      <c r="M70" s="31" t="str">
        <f>IF(OR(L25=0,L25=""),"",L70/L25)</f>
        <v/>
      </c>
    </row>
    <row r="71" spans="1:13" x14ac:dyDescent="0.2">
      <c r="A71" s="25" t="s">
        <v>193</v>
      </c>
      <c r="B71" s="26"/>
      <c r="C71" s="31" t="str">
        <f>IF(OR(B25=0,B25=""),"",B71/B25)</f>
        <v/>
      </c>
      <c r="D71" s="26"/>
      <c r="E71" s="31" t="str">
        <f>IF(OR(D25=0,D25=""),"",D71/D25)</f>
        <v/>
      </c>
      <c r="F71" s="26"/>
      <c r="G71" s="31" t="str">
        <f>IF(OR(F25=0,F25=""),"",F71/F25)</f>
        <v/>
      </c>
      <c r="H71" s="26"/>
      <c r="I71" s="31" t="str">
        <f>IF(OR(H25=0,H25=""),"",H71/H25)</f>
        <v/>
      </c>
      <c r="J71" s="26"/>
      <c r="K71" s="31" t="str">
        <f>IF(OR(J25=0,J25=""),"",J71/J25)</f>
        <v/>
      </c>
      <c r="L71" s="26"/>
      <c r="M71" s="31" t="str">
        <f>IF(OR(L25=0,L25=""),"",L71/L25)</f>
        <v/>
      </c>
    </row>
    <row r="72" spans="1:13" x14ac:dyDescent="0.2">
      <c r="A72" s="25" t="s">
        <v>194</v>
      </c>
      <c r="B72" s="26"/>
      <c r="C72" s="31" t="str">
        <f>IF(OR(B25=0,B25=""),"",B72/B25)</f>
        <v/>
      </c>
      <c r="D72" s="26"/>
      <c r="E72" s="31" t="str">
        <f>IF(OR(D25=0,D25=""),"",D72/D25)</f>
        <v/>
      </c>
      <c r="F72" s="26"/>
      <c r="G72" s="31" t="str">
        <f>IF(OR(F25=0,F25=""),"",F72/F25)</f>
        <v/>
      </c>
      <c r="H72" s="26"/>
      <c r="I72" s="31" t="str">
        <f>IF(OR(H25=0,H25=""),"",H72/H25)</f>
        <v/>
      </c>
      <c r="J72" s="26"/>
      <c r="K72" s="31" t="str">
        <f>IF(OR(J25=0,J25=""),"",J72/J25)</f>
        <v/>
      </c>
      <c r="L72" s="26"/>
      <c r="M72" s="31" t="str">
        <f>IF(OR(L25=0,L25=""),"",L72/L25)</f>
        <v/>
      </c>
    </row>
    <row r="73" spans="1:13" x14ac:dyDescent="0.2">
      <c r="A73" s="25" t="s">
        <v>195</v>
      </c>
      <c r="B73" s="26"/>
      <c r="C73" s="31" t="str">
        <f>IF(OR(B25=0,B25=""),"",B73/B25)</f>
        <v/>
      </c>
      <c r="D73" s="26"/>
      <c r="E73" s="31" t="str">
        <f>IF(OR(D25=0,D25=""),"",D73/D25)</f>
        <v/>
      </c>
      <c r="F73" s="26"/>
      <c r="G73" s="31" t="str">
        <f>IF(OR(F25=0,F25=""),"",F73/F25)</f>
        <v/>
      </c>
      <c r="H73" s="26"/>
      <c r="I73" s="31" t="str">
        <f>IF(OR(H25=0,H25=""),"",H73/H25)</f>
        <v/>
      </c>
      <c r="J73" s="26"/>
      <c r="K73" s="31" t="str">
        <f>IF(OR(J25=0,J25=""),"",J73/J25)</f>
        <v/>
      </c>
      <c r="L73" s="26"/>
      <c r="M73" s="31" t="str">
        <f>IF(OR(L25=0,L25=""),"",L73/L25)</f>
        <v/>
      </c>
    </row>
    <row r="74" spans="1:13" x14ac:dyDescent="0.2">
      <c r="A74" s="25" t="s">
        <v>196</v>
      </c>
      <c r="B74" s="26"/>
      <c r="C74" s="31" t="str">
        <f>IF(OR(B25=0,B25=""),"",B74/B25)</f>
        <v/>
      </c>
      <c r="D74" s="26"/>
      <c r="E74" s="31" t="str">
        <f>IF(OR(D25=0,D25=""),"",D74/D25)</f>
        <v/>
      </c>
      <c r="F74" s="26"/>
      <c r="G74" s="31" t="str">
        <f>IF(OR(F25=0,F25=""),"",F74/F25)</f>
        <v/>
      </c>
      <c r="H74" s="26"/>
      <c r="I74" s="31" t="str">
        <f>IF(OR(H25=0,H25=""),"",H74/H25)</f>
        <v/>
      </c>
      <c r="J74" s="26"/>
      <c r="K74" s="31" t="str">
        <f>IF(OR(J25=0,J25=""),"",J74/J25)</f>
        <v/>
      </c>
      <c r="L74" s="26"/>
      <c r="M74" s="31" t="str">
        <f>IF(OR(L25=0,L25=""),"",L74/L25)</f>
        <v/>
      </c>
    </row>
    <row r="75" spans="1:13" x14ac:dyDescent="0.2">
      <c r="A75" s="25" t="s">
        <v>197</v>
      </c>
      <c r="B75" s="26"/>
      <c r="C75" s="31" t="str">
        <f>IF(OR(B25=0,B25=""),"",B75/B25)</f>
        <v/>
      </c>
      <c r="D75" s="26"/>
      <c r="E75" s="31" t="str">
        <f>IF(OR(D25=0,D25=""),"",D75/D25)</f>
        <v/>
      </c>
      <c r="F75" s="26"/>
      <c r="G75" s="31" t="str">
        <f>IF(OR(F25=0,F25=""),"",F75/F25)</f>
        <v/>
      </c>
      <c r="H75" s="26"/>
      <c r="I75" s="31" t="str">
        <f>IF(OR(H25=0,H25=""),"",H75/H25)</f>
        <v/>
      </c>
      <c r="J75" s="26"/>
      <c r="K75" s="31" t="str">
        <f>IF(OR(J25=0,J25=""),"",J75/J25)</f>
        <v/>
      </c>
      <c r="L75" s="26"/>
      <c r="M75" s="31" t="str">
        <f>IF(OR(L25=0,L25=""),"",L75/L25)</f>
        <v/>
      </c>
    </row>
    <row r="76" spans="1:13" x14ac:dyDescent="0.2">
      <c r="A76" s="25" t="s">
        <v>198</v>
      </c>
      <c r="B76" s="26"/>
      <c r="C76" s="31" t="str">
        <f>IF(OR(B25=0,B25=""),"",B76/B25)</f>
        <v/>
      </c>
      <c r="D76" s="26"/>
      <c r="E76" s="31" t="str">
        <f>IF(OR(D25=0,D25=""),"",D76/D25)</f>
        <v/>
      </c>
      <c r="F76" s="26"/>
      <c r="G76" s="31" t="str">
        <f>IF(OR(F25=0,F25=""),"",F76/F25)</f>
        <v/>
      </c>
      <c r="H76" s="26"/>
      <c r="I76" s="31" t="str">
        <f>IF(OR(H25=0,H25=""),"",H76/H25)</f>
        <v/>
      </c>
      <c r="J76" s="26"/>
      <c r="K76" s="31" t="str">
        <f>IF(OR(J25=0,J25=""),"",J76/J25)</f>
        <v/>
      </c>
      <c r="L76" s="26"/>
      <c r="M76" s="31" t="str">
        <f>IF(OR(L25=0,L25=""),"",L76/L25)</f>
        <v/>
      </c>
    </row>
    <row r="77" spans="1:13" x14ac:dyDescent="0.2">
      <c r="A77" s="25" t="s">
        <v>199</v>
      </c>
      <c r="B77" s="26"/>
      <c r="C77" s="31" t="str">
        <f>IF(OR(B25=0,B25=""),"",B77/B25)</f>
        <v/>
      </c>
      <c r="D77" s="26"/>
      <c r="E77" s="31" t="str">
        <f>IF(OR(D25=0,D25=""),"",D77/D25)</f>
        <v/>
      </c>
      <c r="F77" s="26"/>
      <c r="G77" s="31" t="str">
        <f>IF(OR(F25=0,F25=""),"",F77/F25)</f>
        <v/>
      </c>
      <c r="H77" s="26"/>
      <c r="I77" s="31" t="str">
        <f>IF(OR(H25=0,H25=""),"",H77/H25)</f>
        <v/>
      </c>
      <c r="J77" s="26"/>
      <c r="K77" s="31" t="str">
        <f>IF(OR(J25=0,J25=""),"",J77/J25)</f>
        <v/>
      </c>
      <c r="L77" s="26"/>
      <c r="M77" s="31" t="str">
        <f>IF(OR(L25=0,L25=""),"",L77/L25)</f>
        <v/>
      </c>
    </row>
    <row r="78" spans="1:13" x14ac:dyDescent="0.2">
      <c r="A78" s="25" t="s">
        <v>200</v>
      </c>
      <c r="B78" s="26"/>
      <c r="C78" s="31" t="str">
        <f>IF(OR(B25=0,B25=""),"",B78/B25)</f>
        <v/>
      </c>
      <c r="D78" s="26"/>
      <c r="E78" s="31" t="str">
        <f>IF(OR(D25=0,D25=""),"",D78/D25)</f>
        <v/>
      </c>
      <c r="F78" s="26"/>
      <c r="G78" s="31" t="str">
        <f>IF(OR(F25=0,F25=""),"",F78/F25)</f>
        <v/>
      </c>
      <c r="H78" s="26"/>
      <c r="I78" s="31" t="str">
        <f>IF(OR(H25=0,H25=""),"",H78/H25)</f>
        <v/>
      </c>
      <c r="J78" s="26"/>
      <c r="K78" s="31" t="str">
        <f>IF(OR(J25=0,J25=""),"",J78/J25)</f>
        <v/>
      </c>
      <c r="L78" s="26"/>
      <c r="M78" s="31" t="str">
        <f>IF(OR(L25=0,L25=""),"",L78/L25)</f>
        <v/>
      </c>
    </row>
    <row r="79" spans="1:13" x14ac:dyDescent="0.2">
      <c r="A79" s="25" t="s">
        <v>201</v>
      </c>
      <c r="B79" s="26"/>
      <c r="C79" s="31" t="str">
        <f>IF(OR(B25=0,B25=""),"",B79/B25)</f>
        <v/>
      </c>
      <c r="D79" s="26"/>
      <c r="E79" s="31" t="str">
        <f>IF(OR(D25=0,D25=""),"",D79/D25)</f>
        <v/>
      </c>
      <c r="F79" s="26"/>
      <c r="G79" s="31" t="str">
        <f>IF(OR(F25=0,F25=""),"",F79/F25)</f>
        <v/>
      </c>
      <c r="H79" s="26"/>
      <c r="I79" s="31" t="str">
        <f>IF(OR(H25=0,H25=""),"",H79/H25)</f>
        <v/>
      </c>
      <c r="J79" s="26"/>
      <c r="K79" s="31" t="str">
        <f>IF(OR(J25=0,J25=""),"",J79/J25)</f>
        <v/>
      </c>
      <c r="L79" s="26"/>
      <c r="M79" s="31" t="str">
        <f>IF(OR(L25=0,L25=""),"",L79/L25)</f>
        <v/>
      </c>
    </row>
    <row r="80" spans="1:13" x14ac:dyDescent="0.2">
      <c r="A80" s="35" t="s">
        <v>202</v>
      </c>
      <c r="B80" s="36">
        <f>B50+B51+B52+B53+B54+B55+B56+B57+B58+B59+B60+B61+B62+B63+B64+B65+B66+B67+B68+B69+B70+B71+B72+B73+B74+B75+B76+B77+B78+B79</f>
        <v>0</v>
      </c>
      <c r="C80" s="37" t="str">
        <f>IF(OR(B25=0,B25=""),"",B80/B25)</f>
        <v/>
      </c>
      <c r="D80" s="36">
        <f>D50+D51+D52+D53+D54+D55+D56+D57+D58+D59+D60+D61+D62+D63+D64+D65+D66+D67+D68+D69+D70+D71+D72+D73+D74+D75+D76+D77+D78+D79</f>
        <v>0</v>
      </c>
      <c r="E80" s="37" t="str">
        <f>IF(OR(D25=0,D25=""),"",D80/D25)</f>
        <v/>
      </c>
      <c r="F80" s="36">
        <f>F50+F51+F52+F53+F54+F55+F56+F57+F58+F59+F60+F61+F62+F63+F64+F65+F66+F67+F68+F69+F70+F71+F72+F73+F74+F75+F76+F77+F78+F79</f>
        <v>0</v>
      </c>
      <c r="G80" s="37" t="str">
        <f>IF(OR(F25=0,F25=""),"",F80/F25)</f>
        <v/>
      </c>
      <c r="H80" s="36">
        <f>H50+H51+H52+H53+H54+H55+H56+H57+H58+H59+H60+H61+H62+H63+H64+H65+H66+H67+H68+H69+H70+H71+H72+H73+H74+H75+H76+H77+H78+H79</f>
        <v>0</v>
      </c>
      <c r="I80" s="37" t="str">
        <f>IF(OR(H25=0,H25=""),"",H80/H25)</f>
        <v/>
      </c>
      <c r="J80" s="36">
        <f>J50+J51+J52+J53+J54+J55+J56+J57+J58+J59+J60+J61+J62+J63+J64+J65+J66+J67+J68+J69+J70+J71+J72+J73+J74+J75+J76+J77+J78+J79</f>
        <v>0</v>
      </c>
      <c r="K80" s="37" t="str">
        <f>IF(OR(J25=0,J25=""),"",J80/J25)</f>
        <v/>
      </c>
      <c r="L80" s="36">
        <f>L50+L51+L52+L53+L54+L55+L56+L57+L58+L59+L60+L61+L62+L63+L64+L65+L66+L67+L68+L69+L70+L71+L72+L73+L74+L75+L76+L77+L78+L79</f>
        <v>0</v>
      </c>
      <c r="M80" s="37" t="str">
        <f>IF(OR(L25=0,L25=""),"",L80/L25)</f>
        <v/>
      </c>
    </row>
    <row r="81" spans="1:13" x14ac:dyDescent="0.2">
      <c r="A81" s="32" t="s">
        <v>203</v>
      </c>
      <c r="B81" s="33">
        <f>B48+B80</f>
        <v>0</v>
      </c>
      <c r="C81" s="34" t="str">
        <f>IF(OR(B25=0,B25=""),"",B81/B25)</f>
        <v/>
      </c>
      <c r="D81" s="33">
        <f>D48+D80</f>
        <v>0</v>
      </c>
      <c r="E81" s="34" t="str">
        <f>IF(OR(D25=0,D25=""),"",D81/D25)</f>
        <v/>
      </c>
      <c r="F81" s="33">
        <f>F48+F80</f>
        <v>0</v>
      </c>
      <c r="G81" s="34" t="str">
        <f>IF(OR(F25=0,F25=""),"",F81/F25)</f>
        <v/>
      </c>
      <c r="H81" s="33">
        <f>H48+H80</f>
        <v>0</v>
      </c>
      <c r="I81" s="34" t="str">
        <f>IF(OR(H25=0,H25=""),"",H81/H25)</f>
        <v/>
      </c>
      <c r="J81" s="33">
        <f>J48+J80</f>
        <v>0</v>
      </c>
      <c r="K81" s="34" t="str">
        <f>IF(OR(J25=0,J25=""),"",J81/J25)</f>
        <v/>
      </c>
      <c r="L81" s="33">
        <f>L48+L80</f>
        <v>0</v>
      </c>
      <c r="M81" s="34" t="str">
        <f>IF(OR(L25=0,L25=""),"",L81/L25)</f>
        <v/>
      </c>
    </row>
    <row r="82" spans="1:13" x14ac:dyDescent="0.2">
      <c r="A82" s="38" t="s">
        <v>204</v>
      </c>
      <c r="B82" s="39">
        <f>B25-B81</f>
        <v>0</v>
      </c>
      <c r="C82" s="40" t="str">
        <f>IF(OR(B25=0,B25=""),"",B82/B25)</f>
        <v/>
      </c>
      <c r="D82" s="39">
        <f>D25-D81</f>
        <v>0</v>
      </c>
      <c r="E82" s="40" t="str">
        <f>IF(OR(D25=0,D25=""),"",D82/D25)</f>
        <v/>
      </c>
      <c r="F82" s="39">
        <f>F25-F81</f>
        <v>0</v>
      </c>
      <c r="G82" s="40" t="str">
        <f>IF(OR(F25=0,F25=""),"",F82/F25)</f>
        <v/>
      </c>
      <c r="H82" s="39">
        <f>H25-H81</f>
        <v>0</v>
      </c>
      <c r="I82" s="40" t="str">
        <f>IF(OR(H25=0,H25=""),"",H82/H25)</f>
        <v/>
      </c>
      <c r="J82" s="39">
        <f>J25-J81</f>
        <v>0</v>
      </c>
      <c r="K82" s="40" t="str">
        <f>IF(OR(J25=0,J25=""),"",J82/J25)</f>
        <v/>
      </c>
      <c r="L82" s="39">
        <f>L25-L81</f>
        <v>0</v>
      </c>
      <c r="M82" s="40" t="str">
        <f>IF(OR(L25=0,L25=""),"",L82/L25)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M106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206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129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3" t="s">
        <v>207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">
      <c r="A9" s="25" t="s">
        <v>208</v>
      </c>
      <c r="B9" s="26"/>
      <c r="C9" s="31" t="str">
        <f>IF(OR(B32=0,B32=""),"",B9/B32)</f>
        <v/>
      </c>
      <c r="D9" s="26"/>
      <c r="E9" s="31" t="str">
        <f>IF(OR(D32=0,D32=""),"",D9/D32)</f>
        <v/>
      </c>
      <c r="F9" s="26"/>
      <c r="G9" s="31" t="str">
        <f>IF(OR(F32=0,F32=""),"",F9/F32)</f>
        <v/>
      </c>
      <c r="H9" s="26"/>
      <c r="I9" s="31" t="str">
        <f>IF(OR(H32=0,H32=""),"",H9/H32)</f>
        <v/>
      </c>
      <c r="J9" s="26"/>
      <c r="K9" s="31" t="str">
        <f>IF(OR(J32=0,J32=""),"",J9/J32)</f>
        <v/>
      </c>
      <c r="L9" s="26"/>
      <c r="M9" s="31" t="str">
        <f>IF(OR(L32=0,L32=""),"",L9/L32)</f>
        <v/>
      </c>
    </row>
    <row r="10" spans="1:13" x14ac:dyDescent="0.2">
      <c r="A10" s="25" t="s">
        <v>209</v>
      </c>
      <c r="B10" s="26"/>
      <c r="C10" s="31" t="str">
        <f>IF(OR(B32=0,B32=""),"",B10/B32)</f>
        <v/>
      </c>
      <c r="D10" s="26"/>
      <c r="E10" s="31" t="str">
        <f>IF(OR(D32=0,D32=""),"",D10/D32)</f>
        <v/>
      </c>
      <c r="F10" s="26"/>
      <c r="G10" s="31" t="str">
        <f>IF(OR(F32=0,F32=""),"",F10/F32)</f>
        <v/>
      </c>
      <c r="H10" s="26"/>
      <c r="I10" s="31" t="str">
        <f>IF(OR(H32=0,H32=""),"",H10/H32)</f>
        <v/>
      </c>
      <c r="J10" s="26"/>
      <c r="K10" s="31" t="str">
        <f>IF(OR(J32=0,J32=""),"",J10/J32)</f>
        <v/>
      </c>
      <c r="L10" s="26"/>
      <c r="M10" s="31" t="str">
        <f>IF(OR(L32=0,L32=""),"",L10/L32)</f>
        <v/>
      </c>
    </row>
    <row r="11" spans="1:13" x14ac:dyDescent="0.2">
      <c r="A11" s="25" t="s">
        <v>210</v>
      </c>
      <c r="B11" s="26"/>
      <c r="C11" s="31" t="str">
        <f>IF(OR(B32=0,B32=""),"",B11/B32)</f>
        <v/>
      </c>
      <c r="D11" s="26"/>
      <c r="E11" s="31" t="str">
        <f>IF(OR(D32=0,D32=""),"",D11/D32)</f>
        <v/>
      </c>
      <c r="F11" s="26"/>
      <c r="G11" s="31" t="str">
        <f>IF(OR(F32=0,F32=""),"",F11/F32)</f>
        <v/>
      </c>
      <c r="H11" s="26"/>
      <c r="I11" s="31" t="str">
        <f>IF(OR(H32=0,H32=""),"",H11/H32)</f>
        <v/>
      </c>
      <c r="J11" s="26"/>
      <c r="K11" s="31" t="str">
        <f>IF(OR(J32=0,J32=""),"",J11/J32)</f>
        <v/>
      </c>
      <c r="L11" s="26"/>
      <c r="M11" s="31" t="str">
        <f>IF(OR(L32=0,L32=""),"",L11/L32)</f>
        <v/>
      </c>
    </row>
    <row r="12" spans="1:13" x14ac:dyDescent="0.2">
      <c r="A12" s="25" t="s">
        <v>211</v>
      </c>
      <c r="B12" s="26"/>
      <c r="C12" s="31" t="str">
        <f>IF(OR(B32=0,B32=""),"",B12/B32)</f>
        <v/>
      </c>
      <c r="D12" s="26"/>
      <c r="E12" s="31" t="str">
        <f>IF(OR(D32=0,D32=""),"",D12/D32)</f>
        <v/>
      </c>
      <c r="F12" s="26"/>
      <c r="G12" s="31" t="str">
        <f>IF(OR(F32=0,F32=""),"",F12/F32)</f>
        <v/>
      </c>
      <c r="H12" s="26"/>
      <c r="I12" s="31" t="str">
        <f>IF(OR(H32=0,H32=""),"",H12/H32)</f>
        <v/>
      </c>
      <c r="J12" s="26"/>
      <c r="K12" s="31" t="str">
        <f>IF(OR(J32=0,J32=""),"",J12/J32)</f>
        <v/>
      </c>
      <c r="L12" s="26"/>
      <c r="M12" s="31" t="str">
        <f>IF(OR(L32=0,L32=""),"",L12/L32)</f>
        <v/>
      </c>
    </row>
    <row r="13" spans="1:13" x14ac:dyDescent="0.2">
      <c r="A13" s="25" t="s">
        <v>212</v>
      </c>
      <c r="B13" s="26"/>
      <c r="C13" s="31" t="str">
        <f>IF(OR(B32=0,B32=""),"",B13/B32)</f>
        <v/>
      </c>
      <c r="D13" s="26"/>
      <c r="E13" s="31" t="str">
        <f>IF(OR(D32=0,D32=""),"",D13/D32)</f>
        <v/>
      </c>
      <c r="F13" s="26"/>
      <c r="G13" s="31" t="str">
        <f>IF(OR(F32=0,F32=""),"",F13/F32)</f>
        <v/>
      </c>
      <c r="H13" s="26"/>
      <c r="I13" s="31" t="str">
        <f>IF(OR(H32=0,H32=""),"",H13/H32)</f>
        <v/>
      </c>
      <c r="J13" s="26"/>
      <c r="K13" s="31" t="str">
        <f>IF(OR(J32=0,J32=""),"",J13/J32)</f>
        <v/>
      </c>
      <c r="L13" s="26"/>
      <c r="M13" s="31" t="str">
        <f>IF(OR(L32=0,L32=""),"",L13/L32)</f>
        <v/>
      </c>
    </row>
    <row r="14" spans="1:13" x14ac:dyDescent="0.2">
      <c r="A14" s="35" t="s">
        <v>213</v>
      </c>
      <c r="B14" s="36">
        <f>B9+B10+B11+B12+B13</f>
        <v>0</v>
      </c>
      <c r="C14" s="37" t="str">
        <f>IF(OR(B32=0,B32=""),"",B14/B32)</f>
        <v/>
      </c>
      <c r="D14" s="36">
        <f>D9+D10+D11+D12+D13</f>
        <v>0</v>
      </c>
      <c r="E14" s="37" t="str">
        <f>IF(OR(D32=0,D32=""),"",D14/D32)</f>
        <v/>
      </c>
      <c r="F14" s="36">
        <f>F9+F10+F11+F12+F13</f>
        <v>0</v>
      </c>
      <c r="G14" s="37" t="str">
        <f>IF(OR(F32=0,F32=""),"",F14/F32)</f>
        <v/>
      </c>
      <c r="H14" s="36">
        <f>H9+H10+H11+H12+H13</f>
        <v>0</v>
      </c>
      <c r="I14" s="37" t="str">
        <f>IF(OR(H32=0,H32=""),"",H14/H32)</f>
        <v/>
      </c>
      <c r="J14" s="36">
        <f>J9+J10+J11+J12+J13</f>
        <v>0</v>
      </c>
      <c r="K14" s="37" t="str">
        <f>IF(OR(J32=0,J32=""),"",J14/J32)</f>
        <v/>
      </c>
      <c r="L14" s="36">
        <f>L9+L10+L11+L12+L13</f>
        <v>0</v>
      </c>
      <c r="M14" s="37" t="str">
        <f>IF(OR(L32=0,L32=""),"",L14/L32)</f>
        <v/>
      </c>
    </row>
    <row r="15" spans="1:13" x14ac:dyDescent="0.2">
      <c r="A15" s="23" t="s">
        <v>214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2">
      <c r="A16" s="25" t="s">
        <v>215</v>
      </c>
      <c r="B16" s="26"/>
      <c r="C16" s="31" t="str">
        <f>IF(OR(B32=0,B32=""),"",B16/B32)</f>
        <v/>
      </c>
      <c r="D16" s="26"/>
      <c r="E16" s="31" t="str">
        <f>IF(OR(D32=0,D32=""),"",D16/D32)</f>
        <v/>
      </c>
      <c r="F16" s="26"/>
      <c r="G16" s="31" t="str">
        <f>IF(OR(F32=0,F32=""),"",F16/F32)</f>
        <v/>
      </c>
      <c r="H16" s="26"/>
      <c r="I16" s="31" t="str">
        <f>IF(OR(H32=0,H32=""),"",H16/H32)</f>
        <v/>
      </c>
      <c r="J16" s="26"/>
      <c r="K16" s="31" t="str">
        <f>IF(OR(J32=0,J32=""),"",J16/J32)</f>
        <v/>
      </c>
      <c r="L16" s="26"/>
      <c r="M16" s="31" t="str">
        <f>IF(OR(L32=0,L32=""),"",L16/L32)</f>
        <v/>
      </c>
    </row>
    <row r="17" spans="1:13" x14ac:dyDescent="0.2">
      <c r="A17" s="25" t="s">
        <v>216</v>
      </c>
      <c r="B17" s="26"/>
      <c r="C17" s="31" t="str">
        <f>IF(OR(B32=0,B32=""),"",B17/B32)</f>
        <v/>
      </c>
      <c r="D17" s="26"/>
      <c r="E17" s="31" t="str">
        <f>IF(OR(D32=0,D32=""),"",D17/D32)</f>
        <v/>
      </c>
      <c r="F17" s="26"/>
      <c r="G17" s="31" t="str">
        <f>IF(OR(F32=0,F32=""),"",F17/F32)</f>
        <v/>
      </c>
      <c r="H17" s="26"/>
      <c r="I17" s="31" t="str">
        <f>IF(OR(H32=0,H32=""),"",H17/H32)</f>
        <v/>
      </c>
      <c r="J17" s="26"/>
      <c r="K17" s="31" t="str">
        <f>IF(OR(J32=0,J32=""),"",J17/J32)</f>
        <v/>
      </c>
      <c r="L17" s="26"/>
      <c r="M17" s="31" t="str">
        <f>IF(OR(L32=0,L32=""),"",L17/L32)</f>
        <v/>
      </c>
    </row>
    <row r="18" spans="1:13" x14ac:dyDescent="0.2">
      <c r="A18" s="25" t="s">
        <v>217</v>
      </c>
      <c r="B18" s="26"/>
      <c r="C18" s="31" t="str">
        <f>IF(OR(B32=0,B32=""),"",B18/B32)</f>
        <v/>
      </c>
      <c r="D18" s="26"/>
      <c r="E18" s="31" t="str">
        <f>IF(OR(D32=0,D32=""),"",D18/D32)</f>
        <v/>
      </c>
      <c r="F18" s="26"/>
      <c r="G18" s="31" t="str">
        <f>IF(OR(F32=0,F32=""),"",F18/F32)</f>
        <v/>
      </c>
      <c r="H18" s="26"/>
      <c r="I18" s="31" t="str">
        <f>IF(OR(H32=0,H32=""),"",H18/H32)</f>
        <v/>
      </c>
      <c r="J18" s="26"/>
      <c r="K18" s="31" t="str">
        <f>IF(OR(J32=0,J32=""),"",J18/J32)</f>
        <v/>
      </c>
      <c r="L18" s="26"/>
      <c r="M18" s="31" t="str">
        <f>IF(OR(L32=0,L32=""),"",L18/L32)</f>
        <v/>
      </c>
    </row>
    <row r="19" spans="1:13" x14ac:dyDescent="0.2">
      <c r="A19" s="25" t="s">
        <v>218</v>
      </c>
      <c r="B19" s="26"/>
      <c r="C19" s="31" t="str">
        <f>IF(OR(B32=0,B32=""),"",B19/B32)</f>
        <v/>
      </c>
      <c r="D19" s="26"/>
      <c r="E19" s="31" t="str">
        <f>IF(OR(D32=0,D32=""),"",D19/D32)</f>
        <v/>
      </c>
      <c r="F19" s="26"/>
      <c r="G19" s="31" t="str">
        <f>IF(OR(F32=0,F32=""),"",F19/F32)</f>
        <v/>
      </c>
      <c r="H19" s="26"/>
      <c r="I19" s="31" t="str">
        <f>IF(OR(H32=0,H32=""),"",H19/H32)</f>
        <v/>
      </c>
      <c r="J19" s="26"/>
      <c r="K19" s="31" t="str">
        <f>IF(OR(J32=0,J32=""),"",J19/J32)</f>
        <v/>
      </c>
      <c r="L19" s="26"/>
      <c r="M19" s="31" t="str">
        <f>IF(OR(L32=0,L32=""),"",L19/L32)</f>
        <v/>
      </c>
    </row>
    <row r="20" spans="1:13" x14ac:dyDescent="0.2">
      <c r="A20" s="25" t="s">
        <v>219</v>
      </c>
      <c r="B20" s="26"/>
      <c r="C20" s="31" t="str">
        <f>IF(OR(B32=0,B32=""),"",B20/B32)</f>
        <v/>
      </c>
      <c r="D20" s="26"/>
      <c r="E20" s="31" t="str">
        <f>IF(OR(D32=0,D32=""),"",D20/D32)</f>
        <v/>
      </c>
      <c r="F20" s="26"/>
      <c r="G20" s="31" t="str">
        <f>IF(OR(F32=0,F32=""),"",F20/F32)</f>
        <v/>
      </c>
      <c r="H20" s="26"/>
      <c r="I20" s="31" t="str">
        <f>IF(OR(H32=0,H32=""),"",H20/H32)</f>
        <v/>
      </c>
      <c r="J20" s="26"/>
      <c r="K20" s="31" t="str">
        <f>IF(OR(J32=0,J32=""),"",J20/J32)</f>
        <v/>
      </c>
      <c r="L20" s="26"/>
      <c r="M20" s="31" t="str">
        <f>IF(OR(L32=0,L32=""),"",L20/L32)</f>
        <v/>
      </c>
    </row>
    <row r="21" spans="1:13" x14ac:dyDescent="0.2">
      <c r="A21" s="35" t="s">
        <v>220</v>
      </c>
      <c r="B21" s="36">
        <f>B16+B17+B18+B19+B20</f>
        <v>0</v>
      </c>
      <c r="C21" s="37" t="str">
        <f>IF(OR(B32=0,B32=""),"",B21/B32)</f>
        <v/>
      </c>
      <c r="D21" s="36">
        <f>D16+D17+D18+D19+D20</f>
        <v>0</v>
      </c>
      <c r="E21" s="37" t="str">
        <f>IF(OR(D32=0,D32=""),"",D21/D32)</f>
        <v/>
      </c>
      <c r="F21" s="36">
        <f>F16+F17+F18+F19+F20</f>
        <v>0</v>
      </c>
      <c r="G21" s="37" t="str">
        <f>IF(OR(F32=0,F32=""),"",F21/F32)</f>
        <v/>
      </c>
      <c r="H21" s="36">
        <f>H16+H17+H18+H19+H20</f>
        <v>0</v>
      </c>
      <c r="I21" s="37" t="str">
        <f>IF(OR(H32=0,H32=""),"",H21/H32)</f>
        <v/>
      </c>
      <c r="J21" s="36">
        <f>J16+J17+J18+J19+J20</f>
        <v>0</v>
      </c>
      <c r="K21" s="37" t="str">
        <f>IF(OR(J32=0,J32=""),"",J21/J32)</f>
        <v/>
      </c>
      <c r="L21" s="36">
        <f>L16+L17+L18+L19+L20</f>
        <v>0</v>
      </c>
      <c r="M21" s="37" t="str">
        <f>IF(OR(L32=0,L32=""),"",L21/L32)</f>
        <v/>
      </c>
    </row>
    <row r="22" spans="1:13" x14ac:dyDescent="0.2">
      <c r="A22" s="25" t="s">
        <v>146</v>
      </c>
      <c r="B22" s="26"/>
      <c r="C22" s="31" t="str">
        <f>IF(OR(B32=0,B32=""),"",B22/B32)</f>
        <v/>
      </c>
      <c r="D22" s="26"/>
      <c r="E22" s="31" t="str">
        <f>IF(OR(D32=0,D32=""),"",D22/D32)</f>
        <v/>
      </c>
      <c r="F22" s="26"/>
      <c r="G22" s="31" t="str">
        <f>IF(OR(F32=0,F32=""),"",F22/F32)</f>
        <v/>
      </c>
      <c r="H22" s="26"/>
      <c r="I22" s="31" t="str">
        <f>IF(OR(H32=0,H32=""),"",H22/H32)</f>
        <v/>
      </c>
      <c r="J22" s="26"/>
      <c r="K22" s="31" t="str">
        <f>IF(OR(J32=0,J32=""),"",J22/J32)</f>
        <v/>
      </c>
      <c r="L22" s="26"/>
      <c r="M22" s="31" t="str">
        <f>IF(OR(L32=0,L32=""),"",L22/L32)</f>
        <v/>
      </c>
    </row>
    <row r="23" spans="1:13" x14ac:dyDescent="0.2">
      <c r="A23" s="35" t="s">
        <v>221</v>
      </c>
      <c r="B23" s="36">
        <f>B14+B21-B22</f>
        <v>0</v>
      </c>
      <c r="C23" s="37" t="str">
        <f>IF(OR(B32=0,B32=""),"",B23/B32)</f>
        <v/>
      </c>
      <c r="D23" s="36">
        <f>D14+D21-D22</f>
        <v>0</v>
      </c>
      <c r="E23" s="37" t="str">
        <f>IF(OR(D32=0,D32=""),"",D23/D32)</f>
        <v/>
      </c>
      <c r="F23" s="36">
        <f>F14+F21-F22</f>
        <v>0</v>
      </c>
      <c r="G23" s="37" t="str">
        <f>IF(OR(F32=0,F32=""),"",F23/F32)</f>
        <v/>
      </c>
      <c r="H23" s="36">
        <f>H14+H21-H22</f>
        <v>0</v>
      </c>
      <c r="I23" s="37" t="str">
        <f>IF(OR(H32=0,H32=""),"",H23/H32)</f>
        <v/>
      </c>
      <c r="J23" s="36">
        <f>J14+J21-J22</f>
        <v>0</v>
      </c>
      <c r="K23" s="37" t="str">
        <f>IF(OR(J32=0,J32=""),"",J23/J32)</f>
        <v/>
      </c>
      <c r="L23" s="36">
        <f>L14+L21-L22</f>
        <v>0</v>
      </c>
      <c r="M23" s="37" t="str">
        <f>IF(OR(L32=0,L32=""),"",L23/L32)</f>
        <v/>
      </c>
    </row>
    <row r="24" spans="1:13" x14ac:dyDescent="0.2">
      <c r="A24" s="23" t="s">
        <v>222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2">
      <c r="A25" s="25" t="s">
        <v>223</v>
      </c>
      <c r="B25" s="26"/>
      <c r="C25" s="31" t="str">
        <f>IF(OR(B32=0,B32=""),"",B25/B32)</f>
        <v/>
      </c>
      <c r="D25" s="26"/>
      <c r="E25" s="31" t="str">
        <f>IF(OR(D32=0,D32=""),"",D25/D32)</f>
        <v/>
      </c>
      <c r="F25" s="26"/>
      <c r="G25" s="31" t="str">
        <f>IF(OR(F32=0,F32=""),"",F25/F32)</f>
        <v/>
      </c>
      <c r="H25" s="26"/>
      <c r="I25" s="31" t="str">
        <f>IF(OR(H32=0,H32=""),"",H25/H32)</f>
        <v/>
      </c>
      <c r="J25" s="26"/>
      <c r="K25" s="31" t="str">
        <f>IF(OR(J32=0,J32=""),"",J25/J32)</f>
        <v/>
      </c>
      <c r="L25" s="26"/>
      <c r="M25" s="31" t="str">
        <f>IF(OR(L32=0,L32=""),"",L25/L32)</f>
        <v/>
      </c>
    </row>
    <row r="26" spans="1:13" x14ac:dyDescent="0.2">
      <c r="A26" s="25" t="s">
        <v>224</v>
      </c>
      <c r="B26" s="26"/>
      <c r="C26" s="31" t="str">
        <f>IF(OR(B32=0,B32=""),"",B26/B32)</f>
        <v/>
      </c>
      <c r="D26" s="26"/>
      <c r="E26" s="31" t="str">
        <f>IF(OR(D32=0,D32=""),"",D26/D32)</f>
        <v/>
      </c>
      <c r="F26" s="26"/>
      <c r="G26" s="31" t="str">
        <f>IF(OR(F32=0,F32=""),"",F26/F32)</f>
        <v/>
      </c>
      <c r="H26" s="26"/>
      <c r="I26" s="31" t="str">
        <f>IF(OR(H32=0,H32=""),"",H26/H32)</f>
        <v/>
      </c>
      <c r="J26" s="26"/>
      <c r="K26" s="31" t="str">
        <f>IF(OR(J32=0,J32=""),"",J26/J32)</f>
        <v/>
      </c>
      <c r="L26" s="26"/>
      <c r="M26" s="31" t="str">
        <f>IF(OR(L32=0,L32=""),"",L26/L32)</f>
        <v/>
      </c>
    </row>
    <row r="27" spans="1:13" x14ac:dyDescent="0.2">
      <c r="A27" s="25" t="s">
        <v>225</v>
      </c>
      <c r="B27" s="26"/>
      <c r="C27" s="31" t="str">
        <f>IF(OR(B32=0,B32=""),"",B27/B32)</f>
        <v/>
      </c>
      <c r="D27" s="26"/>
      <c r="E27" s="31" t="str">
        <f>IF(OR(D32=0,D32=""),"",D27/D32)</f>
        <v/>
      </c>
      <c r="F27" s="26"/>
      <c r="G27" s="31" t="str">
        <f>IF(OR(F32=0,F32=""),"",F27/F32)</f>
        <v/>
      </c>
      <c r="H27" s="26"/>
      <c r="I27" s="31" t="str">
        <f>IF(OR(H32=0,H32=""),"",H27/H32)</f>
        <v/>
      </c>
      <c r="J27" s="26"/>
      <c r="K27" s="31" t="str">
        <f>IF(OR(J32=0,J32=""),"",J27/J32)</f>
        <v/>
      </c>
      <c r="L27" s="26"/>
      <c r="M27" s="31" t="str">
        <f>IF(OR(L32=0,L32=""),"",L27/L32)</f>
        <v/>
      </c>
    </row>
    <row r="28" spans="1:13" x14ac:dyDescent="0.2">
      <c r="A28" s="25" t="s">
        <v>226</v>
      </c>
      <c r="B28" s="26"/>
      <c r="C28" s="31" t="str">
        <f>IF(OR(B32=0,B32=""),"",B28/B32)</f>
        <v/>
      </c>
      <c r="D28" s="26"/>
      <c r="E28" s="31" t="str">
        <f>IF(OR(D32=0,D32=""),"",D28/D32)</f>
        <v/>
      </c>
      <c r="F28" s="26"/>
      <c r="G28" s="31" t="str">
        <f>IF(OR(F32=0,F32=""),"",F28/F32)</f>
        <v/>
      </c>
      <c r="H28" s="26"/>
      <c r="I28" s="31" t="str">
        <f>IF(OR(H32=0,H32=""),"",H28/H32)</f>
        <v/>
      </c>
      <c r="J28" s="26"/>
      <c r="K28" s="31" t="str">
        <f>IF(OR(J32=0,J32=""),"",J28/J32)</f>
        <v/>
      </c>
      <c r="L28" s="26"/>
      <c r="M28" s="31" t="str">
        <f>IF(OR(L32=0,L32=""),"",L28/L32)</f>
        <v/>
      </c>
    </row>
    <row r="29" spans="1:13" x14ac:dyDescent="0.2">
      <c r="A29" s="25" t="s">
        <v>227</v>
      </c>
      <c r="B29" s="26"/>
      <c r="C29" s="31" t="str">
        <f>IF(OR(B32=0,B32=""),"",B29/B32)</f>
        <v/>
      </c>
      <c r="D29" s="26"/>
      <c r="E29" s="31" t="str">
        <f>IF(OR(D32=0,D32=""),"",D29/D32)</f>
        <v/>
      </c>
      <c r="F29" s="26"/>
      <c r="G29" s="31" t="str">
        <f>IF(OR(F32=0,F32=""),"",F29/F32)</f>
        <v/>
      </c>
      <c r="H29" s="26"/>
      <c r="I29" s="31" t="str">
        <f>IF(OR(H32=0,H32=""),"",H29/H32)</f>
        <v/>
      </c>
      <c r="J29" s="26"/>
      <c r="K29" s="31" t="str">
        <f>IF(OR(J32=0,J32=""),"",J29/J32)</f>
        <v/>
      </c>
      <c r="L29" s="26"/>
      <c r="M29" s="31" t="str">
        <f>IF(OR(L32=0,L32=""),"",L29/L32)</f>
        <v/>
      </c>
    </row>
    <row r="30" spans="1:13" x14ac:dyDescent="0.2">
      <c r="A30" s="25" t="s">
        <v>228</v>
      </c>
      <c r="B30" s="26"/>
      <c r="C30" s="31" t="str">
        <f>IF(OR(B32=0,B32=""),"",B30/B32)</f>
        <v/>
      </c>
      <c r="D30" s="26"/>
      <c r="E30" s="31" t="str">
        <f>IF(OR(D32=0,D32=""),"",D30/D32)</f>
        <v/>
      </c>
      <c r="F30" s="26"/>
      <c r="G30" s="31" t="str">
        <f>IF(OR(F32=0,F32=""),"",F30/F32)</f>
        <v/>
      </c>
      <c r="H30" s="26"/>
      <c r="I30" s="31" t="str">
        <f>IF(OR(H32=0,H32=""),"",H30/H32)</f>
        <v/>
      </c>
      <c r="J30" s="26"/>
      <c r="K30" s="31" t="str">
        <f>IF(OR(J32=0,J32=""),"",J30/J32)</f>
        <v/>
      </c>
      <c r="L30" s="26"/>
      <c r="M30" s="31" t="str">
        <f>IF(OR(L32=0,L32=""),"",L30/L32)</f>
        <v/>
      </c>
    </row>
    <row r="31" spans="1:13" x14ac:dyDescent="0.2">
      <c r="A31" s="35" t="s">
        <v>229</v>
      </c>
      <c r="B31" s="36">
        <f>B25+B26+B27+B28+B29-B30</f>
        <v>0</v>
      </c>
      <c r="C31" s="37" t="str">
        <f>IF(OR(B32=0,B32=""),"",B31/B32)</f>
        <v/>
      </c>
      <c r="D31" s="36">
        <f>D25+D26+D27+D28+D29-D30</f>
        <v>0</v>
      </c>
      <c r="E31" s="37" t="str">
        <f>IF(OR(D32=0,D32=""),"",D31/D32)</f>
        <v/>
      </c>
      <c r="F31" s="36">
        <f>F25+F26+F27+F28+F29-F30</f>
        <v>0</v>
      </c>
      <c r="G31" s="37" t="str">
        <f>IF(OR(F32=0,F32=""),"",F31/F32)</f>
        <v/>
      </c>
      <c r="H31" s="36">
        <f>H25+H26+H27+H28+H29-H30</f>
        <v>0</v>
      </c>
      <c r="I31" s="37" t="str">
        <f>IF(OR(H32=0,H32=""),"",H31/H32)</f>
        <v/>
      </c>
      <c r="J31" s="36">
        <f>J25+J26+J27+J28+J29-J30</f>
        <v>0</v>
      </c>
      <c r="K31" s="37" t="str">
        <f>IF(OR(J32=0,J32=""),"",J31/J32)</f>
        <v/>
      </c>
      <c r="L31" s="36">
        <f>L25+L26+L27+L28+L29-L30</f>
        <v>0</v>
      </c>
      <c r="M31" s="37" t="str">
        <f>IF(OR(L32=0,L32=""),"",L31/L32)</f>
        <v/>
      </c>
    </row>
    <row r="32" spans="1:13" x14ac:dyDescent="0.2">
      <c r="A32" s="32" t="s">
        <v>230</v>
      </c>
      <c r="B32" s="33">
        <f>B23+B31</f>
        <v>0</v>
      </c>
      <c r="C32" s="34" t="str">
        <f>IF(OR(B32=0,B32=""),"",B32/B32)</f>
        <v/>
      </c>
      <c r="D32" s="33">
        <f>D23+D31</f>
        <v>0</v>
      </c>
      <c r="E32" s="34" t="str">
        <f>IF(OR(D32=0,D32=""),"",D32/D32)</f>
        <v/>
      </c>
      <c r="F32" s="33">
        <f>F23+F31</f>
        <v>0</v>
      </c>
      <c r="G32" s="34" t="str">
        <f>IF(OR(F32=0,F32=""),"",F32/F32)</f>
        <v/>
      </c>
      <c r="H32" s="33">
        <f>H23+H31</f>
        <v>0</v>
      </c>
      <c r="I32" s="34" t="str">
        <f>IF(OR(H32=0,H32=""),"",H32/H32)</f>
        <v/>
      </c>
      <c r="J32" s="33">
        <f>J23+J31</f>
        <v>0</v>
      </c>
      <c r="K32" s="34" t="str">
        <f>IF(OR(J32=0,J32=""),"",J32/J32)</f>
        <v/>
      </c>
      <c r="L32" s="33">
        <f>L23+L31</f>
        <v>0</v>
      </c>
      <c r="M32" s="34" t="str">
        <f>IF(OR(L32=0,L32=""),"",L32/L32)</f>
        <v/>
      </c>
    </row>
    <row r="33" spans="1:13" x14ac:dyDescent="0.2">
      <c r="A33" s="23" t="s">
        <v>231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x14ac:dyDescent="0.2">
      <c r="A34" s="23" t="s">
        <v>232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x14ac:dyDescent="0.2">
      <c r="A35" s="25" t="s">
        <v>233</v>
      </c>
      <c r="B35" s="26"/>
      <c r="C35" s="31" t="str">
        <f>IF(OR(B32=0,B32=""),"",B35/B32)</f>
        <v/>
      </c>
      <c r="D35" s="26"/>
      <c r="E35" s="31" t="str">
        <f>IF(OR(D32=0,D32=""),"",D35/D32)</f>
        <v/>
      </c>
      <c r="F35" s="26"/>
      <c r="G35" s="31" t="str">
        <f>IF(OR(F32=0,F32=""),"",F35/F32)</f>
        <v/>
      </c>
      <c r="H35" s="26"/>
      <c r="I35" s="31" t="str">
        <f>IF(OR(H32=0,H32=""),"",H35/H32)</f>
        <v/>
      </c>
      <c r="J35" s="26"/>
      <c r="K35" s="31" t="str">
        <f>IF(OR(J32=0,J32=""),"",J35/J32)</f>
        <v/>
      </c>
      <c r="L35" s="26"/>
      <c r="M35" s="31" t="str">
        <f>IF(OR(L32=0,L32=""),"",L35/L32)</f>
        <v/>
      </c>
    </row>
    <row r="36" spans="1:13" x14ac:dyDescent="0.2">
      <c r="A36" s="25" t="s">
        <v>234</v>
      </c>
      <c r="B36" s="26"/>
      <c r="C36" s="31" t="str">
        <f>IF(OR(B32=0,B32=""),"",B36/B32)</f>
        <v/>
      </c>
      <c r="D36" s="26"/>
      <c r="E36" s="31" t="str">
        <f>IF(OR(D32=0,D32=""),"",D36/D32)</f>
        <v/>
      </c>
      <c r="F36" s="26"/>
      <c r="G36" s="31" t="str">
        <f>IF(OR(F32=0,F32=""),"",F36/F32)</f>
        <v/>
      </c>
      <c r="H36" s="26"/>
      <c r="I36" s="31" t="str">
        <f>IF(OR(H32=0,H32=""),"",H36/H32)</f>
        <v/>
      </c>
      <c r="J36" s="26"/>
      <c r="K36" s="31" t="str">
        <f>IF(OR(J32=0,J32=""),"",J36/J32)</f>
        <v/>
      </c>
      <c r="L36" s="26"/>
      <c r="M36" s="31" t="str">
        <f>IF(OR(L32=0,L32=""),"",L36/L32)</f>
        <v/>
      </c>
    </row>
    <row r="37" spans="1:13" x14ac:dyDescent="0.2">
      <c r="A37" s="35" t="s">
        <v>235</v>
      </c>
      <c r="B37" s="36">
        <f>B35+B36</f>
        <v>0</v>
      </c>
      <c r="C37" s="37" t="str">
        <f>IF(OR(B32=0,B32=""),"",B37/B32)</f>
        <v/>
      </c>
      <c r="D37" s="36">
        <f>D35+D36</f>
        <v>0</v>
      </c>
      <c r="E37" s="37" t="str">
        <f>IF(OR(D32=0,D32=""),"",D37/D32)</f>
        <v/>
      </c>
      <c r="F37" s="36">
        <f>F35+F36</f>
        <v>0</v>
      </c>
      <c r="G37" s="37" t="str">
        <f>IF(OR(F32=0,F32=""),"",F37/F32)</f>
        <v/>
      </c>
      <c r="H37" s="36">
        <f>H35+H36</f>
        <v>0</v>
      </c>
      <c r="I37" s="37" t="str">
        <f>IF(OR(H32=0,H32=""),"",H37/H32)</f>
        <v/>
      </c>
      <c r="J37" s="36">
        <f>J35+J36</f>
        <v>0</v>
      </c>
      <c r="K37" s="37" t="str">
        <f>IF(OR(J32=0,J32=""),"",J37/J32)</f>
        <v/>
      </c>
      <c r="L37" s="36">
        <f>L35+L36</f>
        <v>0</v>
      </c>
      <c r="M37" s="37" t="str">
        <f>IF(OR(L32=0,L32=""),"",L37/L32)</f>
        <v/>
      </c>
    </row>
    <row r="38" spans="1:13" x14ac:dyDescent="0.2">
      <c r="A38" s="23" t="s">
        <v>236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spans="1:13" x14ac:dyDescent="0.2">
      <c r="A39" s="25" t="s">
        <v>237</v>
      </c>
      <c r="B39" s="26"/>
      <c r="C39" s="31" t="str">
        <f>IF(OR(B32=0,B32=""),"",B39/B32)</f>
        <v/>
      </c>
      <c r="D39" s="26"/>
      <c r="E39" s="31" t="str">
        <f>IF(OR(D32=0,D32=""),"",D39/D32)</f>
        <v/>
      </c>
      <c r="F39" s="26"/>
      <c r="G39" s="31" t="str">
        <f>IF(OR(F32=0,F32=""),"",F39/F32)</f>
        <v/>
      </c>
      <c r="H39" s="26"/>
      <c r="I39" s="31" t="str">
        <f>IF(OR(H32=0,H32=""),"",H39/H32)</f>
        <v/>
      </c>
      <c r="J39" s="26"/>
      <c r="K39" s="31" t="str">
        <f>IF(OR(J32=0,J32=""),"",J39/J32)</f>
        <v/>
      </c>
      <c r="L39" s="26"/>
      <c r="M39" s="31" t="str">
        <f>IF(OR(L32=0,L32=""),"",L39/L32)</f>
        <v/>
      </c>
    </row>
    <row r="40" spans="1:13" x14ac:dyDescent="0.2">
      <c r="A40" s="25" t="s">
        <v>238</v>
      </c>
      <c r="B40" s="26"/>
      <c r="C40" s="31" t="str">
        <f>IF(OR(B32=0,B32=""),"",B40/B32)</f>
        <v/>
      </c>
      <c r="D40" s="26"/>
      <c r="E40" s="31" t="str">
        <f>IF(OR(D32=0,D32=""),"",D40/D32)</f>
        <v/>
      </c>
      <c r="F40" s="26"/>
      <c r="G40" s="31" t="str">
        <f>IF(OR(F32=0,F32=""),"",F40/F32)</f>
        <v/>
      </c>
      <c r="H40" s="26"/>
      <c r="I40" s="31" t="str">
        <f>IF(OR(H32=0,H32=""),"",H40/H32)</f>
        <v/>
      </c>
      <c r="J40" s="26"/>
      <c r="K40" s="31" t="str">
        <f>IF(OR(J32=0,J32=""),"",J40/J32)</f>
        <v/>
      </c>
      <c r="L40" s="26"/>
      <c r="M40" s="31" t="str">
        <f>IF(OR(L32=0,L32=""),"",L40/L32)</f>
        <v/>
      </c>
    </row>
    <row r="41" spans="1:13" x14ac:dyDescent="0.2">
      <c r="A41" s="35" t="s">
        <v>239</v>
      </c>
      <c r="B41" s="36">
        <f>B39+B40</f>
        <v>0</v>
      </c>
      <c r="C41" s="37" t="str">
        <f>IF(OR(B32=0,B32=""),"",B41/B32)</f>
        <v/>
      </c>
      <c r="D41" s="36">
        <f>D39+D40</f>
        <v>0</v>
      </c>
      <c r="E41" s="37" t="str">
        <f>IF(OR(D32=0,D32=""),"",D41/D32)</f>
        <v/>
      </c>
      <c r="F41" s="36">
        <f>F39+F40</f>
        <v>0</v>
      </c>
      <c r="G41" s="37" t="str">
        <f>IF(OR(F32=0,F32=""),"",F41/F32)</f>
        <v/>
      </c>
      <c r="H41" s="36">
        <f>H39+H40</f>
        <v>0</v>
      </c>
      <c r="I41" s="37" t="str">
        <f>IF(OR(H32=0,H32=""),"",H41/H32)</f>
        <v/>
      </c>
      <c r="J41" s="36">
        <f>J39+J40</f>
        <v>0</v>
      </c>
      <c r="K41" s="37" t="str">
        <f>IF(OR(J32=0,J32=""),"",J41/J32)</f>
        <v/>
      </c>
      <c r="L41" s="36">
        <f>L39+L40</f>
        <v>0</v>
      </c>
      <c r="M41" s="37" t="str">
        <f>IF(OR(L32=0,L32=""),"",L41/L32)</f>
        <v/>
      </c>
    </row>
    <row r="42" spans="1:13" x14ac:dyDescent="0.2">
      <c r="A42" s="35" t="s">
        <v>240</v>
      </c>
      <c r="B42" s="36">
        <f>B37+B41</f>
        <v>0</v>
      </c>
      <c r="C42" s="37" t="str">
        <f>IF(OR(B32=0,B32=""),"",B42/B32)</f>
        <v/>
      </c>
      <c r="D42" s="36">
        <f>D37+D41</f>
        <v>0</v>
      </c>
      <c r="E42" s="37" t="str">
        <f>IF(OR(D32=0,D32=""),"",D42/D32)</f>
        <v/>
      </c>
      <c r="F42" s="36">
        <f>F37+F41</f>
        <v>0</v>
      </c>
      <c r="G42" s="37" t="str">
        <f>IF(OR(F32=0,F32=""),"",F42/F32)</f>
        <v/>
      </c>
      <c r="H42" s="36">
        <f>H37+H41</f>
        <v>0</v>
      </c>
      <c r="I42" s="37" t="str">
        <f>IF(OR(H32=0,H32=""),"",H42/H32)</f>
        <v/>
      </c>
      <c r="J42" s="36">
        <f>J37+J41</f>
        <v>0</v>
      </c>
      <c r="K42" s="37" t="str">
        <f>IF(OR(J32=0,J32=""),"",J42/J32)</f>
        <v/>
      </c>
      <c r="L42" s="36">
        <f>L37+L41</f>
        <v>0</v>
      </c>
      <c r="M42" s="37" t="str">
        <f>IF(OR(L32=0,L32=""),"",L42/L32)</f>
        <v/>
      </c>
    </row>
    <row r="43" spans="1:13" x14ac:dyDescent="0.2">
      <c r="A43" s="32" t="s">
        <v>241</v>
      </c>
      <c r="B43" s="33">
        <f>B32-B42</f>
        <v>0</v>
      </c>
      <c r="C43" s="34" t="str">
        <f>IF(OR(B32=0,B32=""),"",B43/B32)</f>
        <v/>
      </c>
      <c r="D43" s="33">
        <f>D32-D42</f>
        <v>0</v>
      </c>
      <c r="E43" s="34" t="str">
        <f>IF(OR(D32=0,D32=""),"",D43/D32)</f>
        <v/>
      </c>
      <c r="F43" s="33">
        <f>F32-F42</f>
        <v>0</v>
      </c>
      <c r="G43" s="34" t="str">
        <f>IF(OR(F32=0,F32=""),"",F43/F32)</f>
        <v/>
      </c>
      <c r="H43" s="33">
        <f>H32-H42</f>
        <v>0</v>
      </c>
      <c r="I43" s="34" t="str">
        <f>IF(OR(H32=0,H32=""),"",H43/H32)</f>
        <v/>
      </c>
      <c r="J43" s="33">
        <f>J32-J42</f>
        <v>0</v>
      </c>
      <c r="K43" s="34" t="str">
        <f>IF(OR(J32=0,J32=""),"",J43/J32)</f>
        <v/>
      </c>
      <c r="L43" s="33">
        <f>L32-L42</f>
        <v>0</v>
      </c>
      <c r="M43" s="34" t="str">
        <f>IF(OR(L32=0,L32=""),"",L43/L32)</f>
        <v/>
      </c>
    </row>
    <row r="44" spans="1:13" x14ac:dyDescent="0.2">
      <c r="A44" s="23" t="s">
        <v>148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spans="1:13" x14ac:dyDescent="0.2">
      <c r="A45" s="23" t="s">
        <v>149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spans="1:13" x14ac:dyDescent="0.2">
      <c r="A46" s="23" t="s">
        <v>150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3" x14ac:dyDescent="0.2">
      <c r="A47" s="23" t="s">
        <v>151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13" x14ac:dyDescent="0.2">
      <c r="A48" s="23" t="s">
        <v>152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spans="1:13" x14ac:dyDescent="0.2">
      <c r="A49" s="25" t="s">
        <v>242</v>
      </c>
      <c r="B49" s="26"/>
      <c r="D49" s="26"/>
      <c r="F49" s="26"/>
      <c r="H49" s="26"/>
      <c r="J49" s="26"/>
      <c r="L49" s="26"/>
    </row>
    <row r="50" spans="1:13" x14ac:dyDescent="0.2">
      <c r="A50" s="25" t="s">
        <v>243</v>
      </c>
      <c r="B50" s="26"/>
      <c r="D50" s="26"/>
      <c r="F50" s="26"/>
      <c r="H50" s="26"/>
      <c r="J50" s="26"/>
      <c r="L50" s="26"/>
    </row>
    <row r="51" spans="1:13" x14ac:dyDescent="0.2">
      <c r="A51" s="23" t="s">
        <v>153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spans="1:13" x14ac:dyDescent="0.2">
      <c r="A52" s="25" t="s">
        <v>244</v>
      </c>
      <c r="B52" s="26"/>
      <c r="D52" s="26"/>
      <c r="F52" s="26"/>
      <c r="H52" s="26"/>
      <c r="J52" s="26"/>
      <c r="L52" s="26"/>
    </row>
    <row r="53" spans="1:13" x14ac:dyDescent="0.2">
      <c r="A53" s="25" t="s">
        <v>243</v>
      </c>
      <c r="B53" s="26"/>
      <c r="D53" s="26"/>
      <c r="F53" s="26"/>
      <c r="H53" s="26"/>
      <c r="J53" s="26"/>
      <c r="L53" s="26"/>
    </row>
    <row r="54" spans="1:13" x14ac:dyDescent="0.2">
      <c r="A54" s="25" t="s">
        <v>245</v>
      </c>
      <c r="B54" s="26"/>
      <c r="D54" s="26"/>
      <c r="F54" s="26"/>
      <c r="H54" s="26"/>
      <c r="J54" s="26"/>
      <c r="L54" s="26"/>
    </row>
    <row r="55" spans="1:13" x14ac:dyDescent="0.2">
      <c r="A55" s="35" t="s">
        <v>160</v>
      </c>
      <c r="B55" s="36">
        <f>B49+B50+B52+B53+B54</f>
        <v>0</v>
      </c>
      <c r="C55" s="41"/>
      <c r="D55" s="36">
        <f>D49+D50+D52+D53+D54</f>
        <v>0</v>
      </c>
      <c r="E55" s="41"/>
      <c r="F55" s="36">
        <f>F49+F50+F52+F53+F54</f>
        <v>0</v>
      </c>
      <c r="G55" s="41"/>
      <c r="H55" s="36">
        <f>H49+H50+H52+H53+H54</f>
        <v>0</v>
      </c>
      <c r="I55" s="41"/>
      <c r="J55" s="36">
        <f>J49+J50+J52+J53+J54</f>
        <v>0</v>
      </c>
      <c r="K55" s="41"/>
      <c r="L55" s="36">
        <f>L49+L50+L52+L53+L54</f>
        <v>0</v>
      </c>
      <c r="M55" s="41"/>
    </row>
    <row r="56" spans="1:13" x14ac:dyDescent="0.2">
      <c r="A56" s="25" t="s">
        <v>161</v>
      </c>
      <c r="B56" s="26"/>
      <c r="D56" s="26"/>
      <c r="F56" s="26"/>
      <c r="H56" s="26"/>
      <c r="J56" s="26"/>
      <c r="L56" s="26"/>
    </row>
    <row r="57" spans="1:13" x14ac:dyDescent="0.2">
      <c r="A57" s="25" t="s">
        <v>162</v>
      </c>
      <c r="B57" s="26"/>
      <c r="D57" s="26"/>
      <c r="F57" s="26"/>
      <c r="H57" s="26"/>
      <c r="J57" s="26"/>
      <c r="L57" s="26"/>
    </row>
    <row r="58" spans="1:13" x14ac:dyDescent="0.2">
      <c r="A58" s="25" t="s">
        <v>163</v>
      </c>
      <c r="B58" s="26"/>
      <c r="D58" s="26"/>
      <c r="F58" s="26"/>
      <c r="H58" s="26"/>
      <c r="J58" s="26"/>
      <c r="L58" s="26"/>
    </row>
    <row r="59" spans="1:13" x14ac:dyDescent="0.2">
      <c r="A59" s="35" t="s">
        <v>164</v>
      </c>
      <c r="B59" s="36">
        <f>B55+B56+B57+B58</f>
        <v>0</v>
      </c>
      <c r="C59" s="37" t="str">
        <f>IF(OR(B32=0,B32=""),"",B59/B32)</f>
        <v/>
      </c>
      <c r="D59" s="36">
        <f>D55+D56+D57+D58</f>
        <v>0</v>
      </c>
      <c r="E59" s="37" t="str">
        <f>IF(OR(D32=0,D32=""),"",D59/D32)</f>
        <v/>
      </c>
      <c r="F59" s="36">
        <f>F55+F56+F57+F58</f>
        <v>0</v>
      </c>
      <c r="G59" s="37" t="str">
        <f>IF(OR(F32=0,F32=""),"",F59/F32)</f>
        <v/>
      </c>
      <c r="H59" s="36">
        <f>H55+H56+H57+H58</f>
        <v>0</v>
      </c>
      <c r="I59" s="37" t="str">
        <f>IF(OR(H32=0,H32=""),"",H59/H32)</f>
        <v/>
      </c>
      <c r="J59" s="36">
        <f>J55+J56+J57+J58</f>
        <v>0</v>
      </c>
      <c r="K59" s="37" t="str">
        <f>IF(OR(J32=0,J32=""),"",J59/J32)</f>
        <v/>
      </c>
      <c r="L59" s="36">
        <f>L55+L56+L57+L58</f>
        <v>0</v>
      </c>
      <c r="M59" s="37" t="str">
        <f>IF(OR(L32=0,L32=""),"",L59/L32)</f>
        <v/>
      </c>
    </row>
    <row r="60" spans="1:13" x14ac:dyDescent="0.2">
      <c r="A60" s="23" t="s">
        <v>165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1:13" x14ac:dyDescent="0.2">
      <c r="A61" s="25" t="s">
        <v>166</v>
      </c>
      <c r="B61" s="26"/>
      <c r="C61" s="31" t="str">
        <f>IF(OR(B32=0,B32=""),"",B61/B32)</f>
        <v/>
      </c>
      <c r="D61" s="26"/>
      <c r="E61" s="31" t="str">
        <f>IF(OR(D32=0,D32=""),"",D61/D32)</f>
        <v/>
      </c>
      <c r="F61" s="26"/>
      <c r="G61" s="31" t="str">
        <f>IF(OR(F32=0,F32=""),"",F61/F32)</f>
        <v/>
      </c>
      <c r="H61" s="26"/>
      <c r="I61" s="31" t="str">
        <f>IF(OR(H32=0,H32=""),"",H61/H32)</f>
        <v/>
      </c>
      <c r="J61" s="26"/>
      <c r="K61" s="31" t="str">
        <f>IF(OR(J32=0,J32=""),"",J61/J32)</f>
        <v/>
      </c>
      <c r="L61" s="26"/>
      <c r="M61" s="31" t="str">
        <f>IF(OR(L32=0,L32=""),"",L61/L32)</f>
        <v/>
      </c>
    </row>
    <row r="62" spans="1:13" x14ac:dyDescent="0.2">
      <c r="A62" s="25" t="s">
        <v>167</v>
      </c>
      <c r="B62" s="26"/>
      <c r="C62" s="31" t="str">
        <f>IF(OR(B32=0,B32=""),"",B62/B32)</f>
        <v/>
      </c>
      <c r="D62" s="26"/>
      <c r="E62" s="31" t="str">
        <f>IF(OR(D32=0,D32=""),"",D62/D32)</f>
        <v/>
      </c>
      <c r="F62" s="26"/>
      <c r="G62" s="31" t="str">
        <f>IF(OR(F32=0,F32=""),"",F62/F32)</f>
        <v/>
      </c>
      <c r="H62" s="26"/>
      <c r="I62" s="31" t="str">
        <f>IF(OR(H32=0,H32=""),"",H62/H32)</f>
        <v/>
      </c>
      <c r="J62" s="26"/>
      <c r="K62" s="31" t="str">
        <f>IF(OR(J32=0,J32=""),"",J62/J32)</f>
        <v/>
      </c>
      <c r="L62" s="26"/>
      <c r="M62" s="31" t="str">
        <f>IF(OR(L32=0,L32=""),"",L62/L32)</f>
        <v/>
      </c>
    </row>
    <row r="63" spans="1:13" x14ac:dyDescent="0.2">
      <c r="A63" s="25" t="s">
        <v>168</v>
      </c>
      <c r="B63" s="26"/>
      <c r="C63" s="31" t="str">
        <f>IF(OR(B32=0,B32=""),"",B63/B32)</f>
        <v/>
      </c>
      <c r="D63" s="26"/>
      <c r="E63" s="31" t="str">
        <f>IF(OR(D32=0,D32=""),"",D63/D32)</f>
        <v/>
      </c>
      <c r="F63" s="26"/>
      <c r="G63" s="31" t="str">
        <f>IF(OR(F32=0,F32=""),"",F63/F32)</f>
        <v/>
      </c>
      <c r="H63" s="26"/>
      <c r="I63" s="31" t="str">
        <f>IF(OR(H32=0,H32=""),"",H63/H32)</f>
        <v/>
      </c>
      <c r="J63" s="26"/>
      <c r="K63" s="31" t="str">
        <f>IF(OR(J32=0,J32=""),"",J63/J32)</f>
        <v/>
      </c>
      <c r="L63" s="26"/>
      <c r="M63" s="31" t="str">
        <f>IF(OR(L32=0,L32=""),"",L63/L32)</f>
        <v/>
      </c>
    </row>
    <row r="64" spans="1:13" x14ac:dyDescent="0.2">
      <c r="A64" s="35" t="s">
        <v>169</v>
      </c>
      <c r="B64" s="36">
        <f>B61+B62+B63</f>
        <v>0</v>
      </c>
      <c r="C64" s="37" t="str">
        <f>IF(OR(B32=0,B32=""),"",B64/B32)</f>
        <v/>
      </c>
      <c r="D64" s="36">
        <f>D61+D62+D63</f>
        <v>0</v>
      </c>
      <c r="E64" s="37" t="str">
        <f>IF(OR(D32=0,D32=""),"",D64/D32)</f>
        <v/>
      </c>
      <c r="F64" s="36">
        <f>F61+F62+F63</f>
        <v>0</v>
      </c>
      <c r="G64" s="37" t="str">
        <f>IF(OR(F32=0,F32=""),"",F64/F32)</f>
        <v/>
      </c>
      <c r="H64" s="36">
        <f>H61+H62+H63</f>
        <v>0</v>
      </c>
      <c r="I64" s="37" t="str">
        <f>IF(OR(H32=0,H32=""),"",H64/H32)</f>
        <v/>
      </c>
      <c r="J64" s="36">
        <f>J61+J62+J63</f>
        <v>0</v>
      </c>
      <c r="K64" s="37" t="str">
        <f>IF(OR(J32=0,J32=""),"",J64/J32)</f>
        <v/>
      </c>
      <c r="L64" s="36">
        <f>L61+L62+L63</f>
        <v>0</v>
      </c>
      <c r="M64" s="37" t="str">
        <f>IF(OR(L32=0,L32=""),"",L64/L32)</f>
        <v/>
      </c>
    </row>
    <row r="65" spans="1:13" x14ac:dyDescent="0.2">
      <c r="A65" s="35" t="s">
        <v>170</v>
      </c>
      <c r="B65" s="36">
        <f>B59+B64</f>
        <v>0</v>
      </c>
      <c r="C65" s="37" t="str">
        <f>IF(OR(B32=0,B32=""),"",B65/B32)</f>
        <v/>
      </c>
      <c r="D65" s="36">
        <f>D59+D64</f>
        <v>0</v>
      </c>
      <c r="E65" s="37" t="str">
        <f>IF(OR(D32=0,D32=""),"",D65/D32)</f>
        <v/>
      </c>
      <c r="F65" s="36">
        <f>F59+F64</f>
        <v>0</v>
      </c>
      <c r="G65" s="37" t="str">
        <f>IF(OR(F32=0,F32=""),"",F65/F32)</f>
        <v/>
      </c>
      <c r="H65" s="36">
        <f>H59+H64</f>
        <v>0</v>
      </c>
      <c r="I65" s="37" t="str">
        <f>IF(OR(H32=0,H32=""),"",H65/H32)</f>
        <v/>
      </c>
      <c r="J65" s="36">
        <f>J59+J64</f>
        <v>0</v>
      </c>
      <c r="K65" s="37" t="str">
        <f>IF(OR(J32=0,J32=""),"",J65/J32)</f>
        <v/>
      </c>
      <c r="L65" s="36">
        <f>L59+L64</f>
        <v>0</v>
      </c>
      <c r="M65" s="37" t="str">
        <f>IF(OR(L32=0,L32=""),"",L65/L32)</f>
        <v/>
      </c>
    </row>
    <row r="66" spans="1:13" x14ac:dyDescent="0.2">
      <c r="A66" s="23" t="s">
        <v>171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1:13" x14ac:dyDescent="0.2">
      <c r="A67" s="25" t="s">
        <v>246</v>
      </c>
      <c r="B67" s="26"/>
      <c r="C67" s="31" t="str">
        <f>IF(OR(B32=0,B32=""),"",B67/B32)</f>
        <v/>
      </c>
      <c r="D67" s="26"/>
      <c r="E67" s="31" t="str">
        <f>IF(OR(D32=0,D32=""),"",D67/D32)</f>
        <v/>
      </c>
      <c r="F67" s="26"/>
      <c r="G67" s="31" t="str">
        <f>IF(OR(F32=0,F32=""),"",F67/F32)</f>
        <v/>
      </c>
      <c r="H67" s="26"/>
      <c r="I67" s="31" t="str">
        <f>IF(OR(H32=0,H32=""),"",H67/H32)</f>
        <v/>
      </c>
      <c r="J67" s="26"/>
      <c r="K67" s="31" t="str">
        <f>IF(OR(J32=0,J32=""),"",J67/J32)</f>
        <v/>
      </c>
      <c r="L67" s="26"/>
      <c r="M67" s="31" t="str">
        <f>IF(OR(L32=0,L32=""),"",L67/L32)</f>
        <v/>
      </c>
    </row>
    <row r="68" spans="1:13" x14ac:dyDescent="0.2">
      <c r="A68" s="25" t="s">
        <v>247</v>
      </c>
      <c r="B68" s="26"/>
      <c r="C68" s="31" t="str">
        <f>IF(OR(B32=0,B32=""),"",B68/B32)</f>
        <v/>
      </c>
      <c r="D68" s="26"/>
      <c r="E68" s="31" t="str">
        <f>IF(OR(D32=0,D32=""),"",D68/D32)</f>
        <v/>
      </c>
      <c r="F68" s="26"/>
      <c r="G68" s="31" t="str">
        <f>IF(OR(F32=0,F32=""),"",F68/F32)</f>
        <v/>
      </c>
      <c r="H68" s="26"/>
      <c r="I68" s="31" t="str">
        <f>IF(OR(H32=0,H32=""),"",H68/H32)</f>
        <v/>
      </c>
      <c r="J68" s="26"/>
      <c r="K68" s="31" t="str">
        <f>IF(OR(J32=0,J32=""),"",J68/J32)</f>
        <v/>
      </c>
      <c r="L68" s="26"/>
      <c r="M68" s="31" t="str">
        <f>IF(OR(L32=0,L32=""),"",L68/L32)</f>
        <v/>
      </c>
    </row>
    <row r="69" spans="1:13" x14ac:dyDescent="0.2">
      <c r="A69" s="25" t="s">
        <v>172</v>
      </c>
      <c r="B69" s="26"/>
      <c r="C69" s="31" t="str">
        <f>IF(OR(B32=0,B32=""),"",B69/B32)</f>
        <v/>
      </c>
      <c r="D69" s="26"/>
      <c r="E69" s="31" t="str">
        <f>IF(OR(D32=0,D32=""),"",D69/D32)</f>
        <v/>
      </c>
      <c r="F69" s="26"/>
      <c r="G69" s="31" t="str">
        <f>IF(OR(F32=0,F32=""),"",F69/F32)</f>
        <v/>
      </c>
      <c r="H69" s="26"/>
      <c r="I69" s="31" t="str">
        <f>IF(OR(H32=0,H32=""),"",H69/H32)</f>
        <v/>
      </c>
      <c r="J69" s="26"/>
      <c r="K69" s="31" t="str">
        <f>IF(OR(J32=0,J32=""),"",J69/J32)</f>
        <v/>
      </c>
      <c r="L69" s="26"/>
      <c r="M69" s="31" t="str">
        <f>IF(OR(L32=0,L32=""),"",L69/L32)</f>
        <v/>
      </c>
    </row>
    <row r="70" spans="1:13" x14ac:dyDescent="0.2">
      <c r="A70" s="25" t="s">
        <v>173</v>
      </c>
      <c r="B70" s="26"/>
      <c r="C70" s="31" t="str">
        <f>IF(OR(B32=0,B32=""),"",B70/B32)</f>
        <v/>
      </c>
      <c r="D70" s="26"/>
      <c r="E70" s="31" t="str">
        <f>IF(OR(D32=0,D32=""),"",D70/D32)</f>
        <v/>
      </c>
      <c r="F70" s="26"/>
      <c r="G70" s="31" t="str">
        <f>IF(OR(F32=0,F32=""),"",F70/F32)</f>
        <v/>
      </c>
      <c r="H70" s="26"/>
      <c r="I70" s="31" t="str">
        <f>IF(OR(H32=0,H32=""),"",H70/H32)</f>
        <v/>
      </c>
      <c r="J70" s="26"/>
      <c r="K70" s="31" t="str">
        <f>IF(OR(J32=0,J32=""),"",J70/J32)</f>
        <v/>
      </c>
      <c r="L70" s="26"/>
      <c r="M70" s="31" t="str">
        <f>IF(OR(L32=0,L32=""),"",L70/L32)</f>
        <v/>
      </c>
    </row>
    <row r="71" spans="1:13" x14ac:dyDescent="0.2">
      <c r="A71" s="25" t="s">
        <v>174</v>
      </c>
      <c r="B71" s="26"/>
      <c r="C71" s="31" t="str">
        <f>IF(OR(B32=0,B32=""),"",B71/B32)</f>
        <v/>
      </c>
      <c r="D71" s="26"/>
      <c r="E71" s="31" t="str">
        <f>IF(OR(D32=0,D32=""),"",D71/D32)</f>
        <v/>
      </c>
      <c r="F71" s="26"/>
      <c r="G71" s="31" t="str">
        <f>IF(OR(F32=0,F32=""),"",F71/F32)</f>
        <v/>
      </c>
      <c r="H71" s="26"/>
      <c r="I71" s="31" t="str">
        <f>IF(OR(H32=0,H32=""),"",H71/H32)</f>
        <v/>
      </c>
      <c r="J71" s="26"/>
      <c r="K71" s="31" t="str">
        <f>IF(OR(J32=0,J32=""),"",J71/J32)</f>
        <v/>
      </c>
      <c r="L71" s="26"/>
      <c r="M71" s="31" t="str">
        <f>IF(OR(L32=0,L32=""),"",L71/L32)</f>
        <v/>
      </c>
    </row>
    <row r="72" spans="1:13" x14ac:dyDescent="0.2">
      <c r="A72" s="25" t="s">
        <v>178</v>
      </c>
      <c r="B72" s="26"/>
      <c r="C72" s="31" t="str">
        <f>IF(OR(B32=0,B32=""),"",B72/B32)</f>
        <v/>
      </c>
      <c r="D72" s="26"/>
      <c r="E72" s="31" t="str">
        <f>IF(OR(D32=0,D32=""),"",D72/D32)</f>
        <v/>
      </c>
      <c r="F72" s="26"/>
      <c r="G72" s="31" t="str">
        <f>IF(OR(F32=0,F32=""),"",F72/F32)</f>
        <v/>
      </c>
      <c r="H72" s="26"/>
      <c r="I72" s="31" t="str">
        <f>IF(OR(H32=0,H32=""),"",H72/H32)</f>
        <v/>
      </c>
      <c r="J72" s="26"/>
      <c r="K72" s="31" t="str">
        <f>IF(OR(J32=0,J32=""),"",J72/J32)</f>
        <v/>
      </c>
      <c r="L72" s="26"/>
      <c r="M72" s="31" t="str">
        <f>IF(OR(L32=0,L32=""),"",L72/L32)</f>
        <v/>
      </c>
    </row>
    <row r="73" spans="1:13" x14ac:dyDescent="0.2">
      <c r="A73" s="25" t="s">
        <v>179</v>
      </c>
      <c r="B73" s="26"/>
      <c r="C73" s="31" t="str">
        <f>IF(OR(B32=0,B32=""),"",B73/B32)</f>
        <v/>
      </c>
      <c r="D73" s="26"/>
      <c r="E73" s="31" t="str">
        <f>IF(OR(D32=0,D32=""),"",D73/D32)</f>
        <v/>
      </c>
      <c r="F73" s="26"/>
      <c r="G73" s="31" t="str">
        <f>IF(OR(F32=0,F32=""),"",F73/F32)</f>
        <v/>
      </c>
      <c r="H73" s="26"/>
      <c r="I73" s="31" t="str">
        <f>IF(OR(H32=0,H32=""),"",H73/H32)</f>
        <v/>
      </c>
      <c r="J73" s="26"/>
      <c r="K73" s="31" t="str">
        <f>IF(OR(J32=0,J32=""),"",J73/J32)</f>
        <v/>
      </c>
      <c r="L73" s="26"/>
      <c r="M73" s="31" t="str">
        <f>IF(OR(L32=0,L32=""),"",L73/L32)</f>
        <v/>
      </c>
    </row>
    <row r="74" spans="1:13" x14ac:dyDescent="0.2">
      <c r="A74" s="25" t="s">
        <v>180</v>
      </c>
      <c r="B74" s="26"/>
      <c r="C74" s="31" t="str">
        <f>IF(OR(B32=0,B32=""),"",B74/B32)</f>
        <v/>
      </c>
      <c r="D74" s="26"/>
      <c r="E74" s="31" t="str">
        <f>IF(OR(D32=0,D32=""),"",D74/D32)</f>
        <v/>
      </c>
      <c r="F74" s="26"/>
      <c r="G74" s="31" t="str">
        <f>IF(OR(F32=0,F32=""),"",F74/F32)</f>
        <v/>
      </c>
      <c r="H74" s="26"/>
      <c r="I74" s="31" t="str">
        <f>IF(OR(H32=0,H32=""),"",H74/H32)</f>
        <v/>
      </c>
      <c r="J74" s="26"/>
      <c r="K74" s="31" t="str">
        <f>IF(OR(J32=0,J32=""),"",J74/J32)</f>
        <v/>
      </c>
      <c r="L74" s="26"/>
      <c r="M74" s="31" t="str">
        <f>IF(OR(L32=0,L32=""),"",L74/L32)</f>
        <v/>
      </c>
    </row>
    <row r="75" spans="1:13" x14ac:dyDescent="0.2">
      <c r="A75" s="25" t="s">
        <v>181</v>
      </c>
      <c r="B75" s="26"/>
      <c r="C75" s="31" t="str">
        <f>IF(OR(B32=0,B32=""),"",B75/B32)</f>
        <v/>
      </c>
      <c r="D75" s="26"/>
      <c r="E75" s="31" t="str">
        <f>IF(OR(D32=0,D32=""),"",D75/D32)</f>
        <v/>
      </c>
      <c r="F75" s="26"/>
      <c r="G75" s="31" t="str">
        <f>IF(OR(F32=0,F32=""),"",F75/F32)</f>
        <v/>
      </c>
      <c r="H75" s="26"/>
      <c r="I75" s="31" t="str">
        <f>IF(OR(H32=0,H32=""),"",H75/H32)</f>
        <v/>
      </c>
      <c r="J75" s="26"/>
      <c r="K75" s="31" t="str">
        <f>IF(OR(J32=0,J32=""),"",J75/J32)</f>
        <v/>
      </c>
      <c r="L75" s="26"/>
      <c r="M75" s="31" t="str">
        <f>IF(OR(L32=0,L32=""),"",L75/L32)</f>
        <v/>
      </c>
    </row>
    <row r="76" spans="1:13" x14ac:dyDescent="0.2">
      <c r="A76" s="25" t="s">
        <v>248</v>
      </c>
      <c r="B76" s="26"/>
      <c r="C76" s="31" t="str">
        <f>IF(OR(B32=0,B32=""),"",B76/B32)</f>
        <v/>
      </c>
      <c r="D76" s="26"/>
      <c r="E76" s="31" t="str">
        <f>IF(OR(D32=0,D32=""),"",D76/D32)</f>
        <v/>
      </c>
      <c r="F76" s="26"/>
      <c r="G76" s="31" t="str">
        <f>IF(OR(F32=0,F32=""),"",F76/F32)</f>
        <v/>
      </c>
      <c r="H76" s="26"/>
      <c r="I76" s="31" t="str">
        <f>IF(OR(H32=0,H32=""),"",H76/H32)</f>
        <v/>
      </c>
      <c r="J76" s="26"/>
      <c r="K76" s="31" t="str">
        <f>IF(OR(J32=0,J32=""),"",J76/J32)</f>
        <v/>
      </c>
      <c r="L76" s="26"/>
      <c r="M76" s="31" t="str">
        <f>IF(OR(L32=0,L32=""),"",L76/L32)</f>
        <v/>
      </c>
    </row>
    <row r="77" spans="1:13" x14ac:dyDescent="0.2">
      <c r="A77" s="25" t="s">
        <v>182</v>
      </c>
      <c r="B77" s="26"/>
      <c r="C77" s="31" t="str">
        <f>IF(OR(B32=0,B32=""),"",B77/B32)</f>
        <v/>
      </c>
      <c r="D77" s="26"/>
      <c r="E77" s="31" t="str">
        <f>IF(OR(D32=0,D32=""),"",D77/D32)</f>
        <v/>
      </c>
      <c r="F77" s="26"/>
      <c r="G77" s="31" t="str">
        <f>IF(OR(F32=0,F32=""),"",F77/F32)</f>
        <v/>
      </c>
      <c r="H77" s="26"/>
      <c r="I77" s="31" t="str">
        <f>IF(OR(H32=0,H32=""),"",H77/H32)</f>
        <v/>
      </c>
      <c r="J77" s="26"/>
      <c r="K77" s="31" t="str">
        <f>IF(OR(J32=0,J32=""),"",J77/J32)</f>
        <v/>
      </c>
      <c r="L77" s="26"/>
      <c r="M77" s="31" t="str">
        <f>IF(OR(L32=0,L32=""),"",L77/L32)</f>
        <v/>
      </c>
    </row>
    <row r="78" spans="1:13" x14ac:dyDescent="0.2">
      <c r="A78" s="25" t="s">
        <v>183</v>
      </c>
      <c r="B78" s="26"/>
      <c r="C78" s="31" t="str">
        <f>IF(OR(B32=0,B32=""),"",B78/B32)</f>
        <v/>
      </c>
      <c r="D78" s="26"/>
      <c r="E78" s="31" t="str">
        <f>IF(OR(D32=0,D32=""),"",D78/D32)</f>
        <v/>
      </c>
      <c r="F78" s="26"/>
      <c r="G78" s="31" t="str">
        <f>IF(OR(F32=0,F32=""),"",F78/F32)</f>
        <v/>
      </c>
      <c r="H78" s="26"/>
      <c r="I78" s="31" t="str">
        <f>IF(OR(H32=0,H32=""),"",H78/H32)</f>
        <v/>
      </c>
      <c r="J78" s="26"/>
      <c r="K78" s="31" t="str">
        <f>IF(OR(J32=0,J32=""),"",J78/J32)</f>
        <v/>
      </c>
      <c r="L78" s="26"/>
      <c r="M78" s="31" t="str">
        <f>IF(OR(L32=0,L32=""),"",L78/L32)</f>
        <v/>
      </c>
    </row>
    <row r="79" spans="1:13" x14ac:dyDescent="0.2">
      <c r="A79" s="25" t="s">
        <v>184</v>
      </c>
      <c r="B79" s="26"/>
      <c r="C79" s="31" t="str">
        <f>IF(OR(B32=0,B32=""),"",B79/B32)</f>
        <v/>
      </c>
      <c r="D79" s="26"/>
      <c r="E79" s="31" t="str">
        <f>IF(OR(D32=0,D32=""),"",D79/D32)</f>
        <v/>
      </c>
      <c r="F79" s="26"/>
      <c r="G79" s="31" t="str">
        <f>IF(OR(F32=0,F32=""),"",F79/F32)</f>
        <v/>
      </c>
      <c r="H79" s="26"/>
      <c r="I79" s="31" t="str">
        <f>IF(OR(H32=0,H32=""),"",H79/H32)</f>
        <v/>
      </c>
      <c r="J79" s="26"/>
      <c r="K79" s="31" t="str">
        <f>IF(OR(J32=0,J32=""),"",J79/J32)</f>
        <v/>
      </c>
      <c r="L79" s="26"/>
      <c r="M79" s="31" t="str">
        <f>IF(OR(L32=0,L32=""),"",L79/L32)</f>
        <v/>
      </c>
    </row>
    <row r="80" spans="1:13" x14ac:dyDescent="0.2">
      <c r="A80" s="25" t="s">
        <v>249</v>
      </c>
      <c r="B80" s="26"/>
      <c r="C80" s="31" t="str">
        <f>IF(OR(B32=0,B32=""),"",B80/B32)</f>
        <v/>
      </c>
      <c r="D80" s="26"/>
      <c r="E80" s="31" t="str">
        <f>IF(OR(D32=0,D32=""),"",D80/D32)</f>
        <v/>
      </c>
      <c r="F80" s="26"/>
      <c r="G80" s="31" t="str">
        <f>IF(OR(F32=0,F32=""),"",F80/F32)</f>
        <v/>
      </c>
      <c r="H80" s="26"/>
      <c r="I80" s="31" t="str">
        <f>IF(OR(H32=0,H32=""),"",H80/H32)</f>
        <v/>
      </c>
      <c r="J80" s="26"/>
      <c r="K80" s="31" t="str">
        <f>IF(OR(J32=0,J32=""),"",J80/J32)</f>
        <v/>
      </c>
      <c r="L80" s="26"/>
      <c r="M80" s="31" t="str">
        <f>IF(OR(L32=0,L32=""),"",L80/L32)</f>
        <v/>
      </c>
    </row>
    <row r="81" spans="1:13" x14ac:dyDescent="0.2">
      <c r="A81" s="25" t="s">
        <v>250</v>
      </c>
      <c r="B81" s="26"/>
      <c r="C81" s="31" t="str">
        <f>IF(OR(B32=0,B32=""),"",B81/B32)</f>
        <v/>
      </c>
      <c r="D81" s="26"/>
      <c r="E81" s="31" t="str">
        <f>IF(OR(D32=0,D32=""),"",D81/D32)</f>
        <v/>
      </c>
      <c r="F81" s="26"/>
      <c r="G81" s="31" t="str">
        <f>IF(OR(F32=0,F32=""),"",F81/F32)</f>
        <v/>
      </c>
      <c r="H81" s="26"/>
      <c r="I81" s="31" t="str">
        <f>IF(OR(H32=0,H32=""),"",H81/H32)</f>
        <v/>
      </c>
      <c r="J81" s="26"/>
      <c r="K81" s="31" t="str">
        <f>IF(OR(J32=0,J32=""),"",J81/J32)</f>
        <v/>
      </c>
      <c r="L81" s="26"/>
      <c r="M81" s="31" t="str">
        <f>IF(OR(L32=0,L32=""),"",L81/L32)</f>
        <v/>
      </c>
    </row>
    <row r="82" spans="1:13" x14ac:dyDescent="0.2">
      <c r="A82" s="25" t="s">
        <v>251</v>
      </c>
      <c r="B82" s="26"/>
      <c r="C82" s="31" t="str">
        <f>IF(OR(B32=0,B32=""),"",B82/B32)</f>
        <v/>
      </c>
      <c r="D82" s="26"/>
      <c r="E82" s="31" t="str">
        <f>IF(OR(D32=0,D32=""),"",D82/D32)</f>
        <v/>
      </c>
      <c r="F82" s="26"/>
      <c r="G82" s="31" t="str">
        <f>IF(OR(F32=0,F32=""),"",F82/F32)</f>
        <v/>
      </c>
      <c r="H82" s="26"/>
      <c r="I82" s="31" t="str">
        <f>IF(OR(H32=0,H32=""),"",H82/H32)</f>
        <v/>
      </c>
      <c r="J82" s="26"/>
      <c r="K82" s="31" t="str">
        <f>IF(OR(J32=0,J32=""),"",J82/J32)</f>
        <v/>
      </c>
      <c r="L82" s="26"/>
      <c r="M82" s="31" t="str">
        <f>IF(OR(L32=0,L32=""),"",L82/L32)</f>
        <v/>
      </c>
    </row>
    <row r="83" spans="1:13" x14ac:dyDescent="0.2">
      <c r="A83" s="25" t="s">
        <v>252</v>
      </c>
      <c r="B83" s="26"/>
      <c r="C83" s="31" t="str">
        <f>IF(OR(B32=0,B32=""),"",B83/B32)</f>
        <v/>
      </c>
      <c r="D83" s="26"/>
      <c r="E83" s="31" t="str">
        <f>IF(OR(D32=0,D32=""),"",D83/D32)</f>
        <v/>
      </c>
      <c r="F83" s="26"/>
      <c r="G83" s="31" t="str">
        <f>IF(OR(F32=0,F32=""),"",F83/F32)</f>
        <v/>
      </c>
      <c r="H83" s="26"/>
      <c r="I83" s="31" t="str">
        <f>IF(OR(H32=0,H32=""),"",H83/H32)</f>
        <v/>
      </c>
      <c r="J83" s="26"/>
      <c r="K83" s="31" t="str">
        <f>IF(OR(J32=0,J32=""),"",J83/J32)</f>
        <v/>
      </c>
      <c r="L83" s="26"/>
      <c r="M83" s="31" t="str">
        <f>IF(OR(L32=0,L32=""),"",L83/L32)</f>
        <v/>
      </c>
    </row>
    <row r="84" spans="1:13" x14ac:dyDescent="0.2">
      <c r="A84" s="25" t="s">
        <v>253</v>
      </c>
      <c r="B84" s="26"/>
      <c r="C84" s="31" t="str">
        <f>IF(OR(B32=0,B32=""),"",B84/B32)</f>
        <v/>
      </c>
      <c r="D84" s="26"/>
      <c r="E84" s="31" t="str">
        <f>IF(OR(D32=0,D32=""),"",D84/D32)</f>
        <v/>
      </c>
      <c r="F84" s="26"/>
      <c r="G84" s="31" t="str">
        <f>IF(OR(F32=0,F32=""),"",F84/F32)</f>
        <v/>
      </c>
      <c r="H84" s="26"/>
      <c r="I84" s="31" t="str">
        <f>IF(OR(H32=0,H32=""),"",H84/H32)</f>
        <v/>
      </c>
      <c r="J84" s="26"/>
      <c r="K84" s="31" t="str">
        <f>IF(OR(J32=0,J32=""),"",J84/J32)</f>
        <v/>
      </c>
      <c r="L84" s="26"/>
      <c r="M84" s="31" t="str">
        <f>IF(OR(L32=0,L32=""),"",L84/L32)</f>
        <v/>
      </c>
    </row>
    <row r="85" spans="1:13" x14ac:dyDescent="0.2">
      <c r="A85" s="25" t="s">
        <v>188</v>
      </c>
      <c r="B85" s="26"/>
      <c r="C85" s="31" t="str">
        <f>IF(OR(B32=0,B32=""),"",B85/B32)</f>
        <v/>
      </c>
      <c r="D85" s="26"/>
      <c r="E85" s="31" t="str">
        <f>IF(OR(D32=0,D32=""),"",D85/D32)</f>
        <v/>
      </c>
      <c r="F85" s="26"/>
      <c r="G85" s="31" t="str">
        <f>IF(OR(F32=0,F32=""),"",F85/F32)</f>
        <v/>
      </c>
      <c r="H85" s="26"/>
      <c r="I85" s="31" t="str">
        <f>IF(OR(H32=0,H32=""),"",H85/H32)</f>
        <v/>
      </c>
      <c r="J85" s="26"/>
      <c r="K85" s="31" t="str">
        <f>IF(OR(J32=0,J32=""),"",J85/J32)</f>
        <v/>
      </c>
      <c r="L85" s="26"/>
      <c r="M85" s="31" t="str">
        <f>IF(OR(L32=0,L32=""),"",L85/L32)</f>
        <v/>
      </c>
    </row>
    <row r="86" spans="1:13" x14ac:dyDescent="0.2">
      <c r="A86" s="25" t="s">
        <v>189</v>
      </c>
      <c r="B86" s="26"/>
      <c r="C86" s="31" t="str">
        <f>IF(OR(B32=0,B32=""),"",B86/B32)</f>
        <v/>
      </c>
      <c r="D86" s="26"/>
      <c r="E86" s="31" t="str">
        <f>IF(OR(D32=0,D32=""),"",D86/D32)</f>
        <v/>
      </c>
      <c r="F86" s="26"/>
      <c r="G86" s="31" t="str">
        <f>IF(OR(F32=0,F32=""),"",F86/F32)</f>
        <v/>
      </c>
      <c r="H86" s="26"/>
      <c r="I86" s="31" t="str">
        <f>IF(OR(H32=0,H32=""),"",H86/H32)</f>
        <v/>
      </c>
      <c r="J86" s="26"/>
      <c r="K86" s="31" t="str">
        <f>IF(OR(J32=0,J32=""),"",J86/J32)</f>
        <v/>
      </c>
      <c r="L86" s="26"/>
      <c r="M86" s="31" t="str">
        <f>IF(OR(L32=0,L32=""),"",L86/L32)</f>
        <v/>
      </c>
    </row>
    <row r="87" spans="1:13" x14ac:dyDescent="0.2">
      <c r="A87" s="25" t="s">
        <v>190</v>
      </c>
      <c r="B87" s="26"/>
      <c r="C87" s="31" t="str">
        <f>IF(OR(B32=0,B32=""),"",B87/B32)</f>
        <v/>
      </c>
      <c r="D87" s="26"/>
      <c r="E87" s="31" t="str">
        <f>IF(OR(D32=0,D32=""),"",D87/D32)</f>
        <v/>
      </c>
      <c r="F87" s="26"/>
      <c r="G87" s="31" t="str">
        <f>IF(OR(F32=0,F32=""),"",F87/F32)</f>
        <v/>
      </c>
      <c r="H87" s="26"/>
      <c r="I87" s="31" t="str">
        <f>IF(OR(H32=0,H32=""),"",H87/H32)</f>
        <v/>
      </c>
      <c r="J87" s="26"/>
      <c r="K87" s="31" t="str">
        <f>IF(OR(J32=0,J32=""),"",J87/J32)</f>
        <v/>
      </c>
      <c r="L87" s="26"/>
      <c r="M87" s="31" t="str">
        <f>IF(OR(L32=0,L32=""),"",L87/L32)</f>
        <v/>
      </c>
    </row>
    <row r="88" spans="1:13" x14ac:dyDescent="0.2">
      <c r="A88" s="25" t="s">
        <v>106</v>
      </c>
      <c r="B88" s="26"/>
      <c r="C88" s="31" t="str">
        <f>IF(OR(B32=0,B32=""),"",B88/B32)</f>
        <v/>
      </c>
      <c r="D88" s="26"/>
      <c r="E88" s="31" t="str">
        <f>IF(OR(D32=0,D32=""),"",D88/D32)</f>
        <v/>
      </c>
      <c r="F88" s="26"/>
      <c r="G88" s="31" t="str">
        <f>IF(OR(F32=0,F32=""),"",F88/F32)</f>
        <v/>
      </c>
      <c r="H88" s="26"/>
      <c r="I88" s="31" t="str">
        <f>IF(OR(H32=0,H32=""),"",H88/H32)</f>
        <v/>
      </c>
      <c r="J88" s="26"/>
      <c r="K88" s="31" t="str">
        <f>IF(OR(J32=0,J32=""),"",J88/J32)</f>
        <v/>
      </c>
      <c r="L88" s="26"/>
      <c r="M88" s="31" t="str">
        <f>IF(OR(L32=0,L32=""),"",L88/L32)</f>
        <v/>
      </c>
    </row>
    <row r="89" spans="1:13" x14ac:dyDescent="0.2">
      <c r="A89" s="25" t="s">
        <v>254</v>
      </c>
      <c r="B89" s="26"/>
      <c r="C89" s="31" t="str">
        <f>IF(OR(B32=0,B32=""),"",B89/B32)</f>
        <v/>
      </c>
      <c r="D89" s="26"/>
      <c r="E89" s="31" t="str">
        <f>IF(OR(D32=0,D32=""),"",D89/D32)</f>
        <v/>
      </c>
      <c r="F89" s="26"/>
      <c r="G89" s="31" t="str">
        <f>IF(OR(F32=0,F32=""),"",F89/F32)</f>
        <v/>
      </c>
      <c r="H89" s="26"/>
      <c r="I89" s="31" t="str">
        <f>IF(OR(H32=0,H32=""),"",H89/H32)</f>
        <v/>
      </c>
      <c r="J89" s="26"/>
      <c r="K89" s="31" t="str">
        <f>IF(OR(J32=0,J32=""),"",J89/J32)</f>
        <v/>
      </c>
      <c r="L89" s="26"/>
      <c r="M89" s="31" t="str">
        <f>IF(OR(L32=0,L32=""),"",L89/L32)</f>
        <v/>
      </c>
    </row>
    <row r="90" spans="1:13" x14ac:dyDescent="0.2">
      <c r="A90" s="25" t="s">
        <v>191</v>
      </c>
      <c r="B90" s="26"/>
      <c r="C90" s="31" t="str">
        <f>IF(OR(B32=0,B32=""),"",B90/B32)</f>
        <v/>
      </c>
      <c r="D90" s="26"/>
      <c r="E90" s="31" t="str">
        <f>IF(OR(D32=0,D32=""),"",D90/D32)</f>
        <v/>
      </c>
      <c r="F90" s="26"/>
      <c r="G90" s="31" t="str">
        <f>IF(OR(F32=0,F32=""),"",F90/F32)</f>
        <v/>
      </c>
      <c r="H90" s="26"/>
      <c r="I90" s="31" t="str">
        <f>IF(OR(H32=0,H32=""),"",H90/H32)</f>
        <v/>
      </c>
      <c r="J90" s="26"/>
      <c r="K90" s="31" t="str">
        <f>IF(OR(J32=0,J32=""),"",J90/J32)</f>
        <v/>
      </c>
      <c r="L90" s="26"/>
      <c r="M90" s="31" t="str">
        <f>IF(OR(L32=0,L32=""),"",L90/L32)</f>
        <v/>
      </c>
    </row>
    <row r="91" spans="1:13" x14ac:dyDescent="0.2">
      <c r="A91" s="25" t="s">
        <v>255</v>
      </c>
      <c r="B91" s="26"/>
      <c r="C91" s="31" t="str">
        <f>IF(OR(B32=0,B32=""),"",B91/B32)</f>
        <v/>
      </c>
      <c r="D91" s="26"/>
      <c r="E91" s="31" t="str">
        <f>IF(OR(D32=0,D32=""),"",D91/D32)</f>
        <v/>
      </c>
      <c r="F91" s="26"/>
      <c r="G91" s="31" t="str">
        <f>IF(OR(F32=0,F32=""),"",F91/F32)</f>
        <v/>
      </c>
      <c r="H91" s="26"/>
      <c r="I91" s="31" t="str">
        <f>IF(OR(H32=0,H32=""),"",H91/H32)</f>
        <v/>
      </c>
      <c r="J91" s="26"/>
      <c r="K91" s="31" t="str">
        <f>IF(OR(J32=0,J32=""),"",J91/J32)</f>
        <v/>
      </c>
      <c r="L91" s="26"/>
      <c r="M91" s="31" t="str">
        <f>IF(OR(L32=0,L32=""),"",L91/L32)</f>
        <v/>
      </c>
    </row>
    <row r="92" spans="1:13" x14ac:dyDescent="0.2">
      <c r="A92" s="25" t="s">
        <v>192</v>
      </c>
      <c r="B92" s="26"/>
      <c r="C92" s="31" t="str">
        <f>IF(OR(B32=0,B32=""),"",B92/B32)</f>
        <v/>
      </c>
      <c r="D92" s="26"/>
      <c r="E92" s="31" t="str">
        <f>IF(OR(D32=0,D32=""),"",D92/D32)</f>
        <v/>
      </c>
      <c r="F92" s="26"/>
      <c r="G92" s="31" t="str">
        <f>IF(OR(F32=0,F32=""),"",F92/F32)</f>
        <v/>
      </c>
      <c r="H92" s="26"/>
      <c r="I92" s="31" t="str">
        <f>IF(OR(H32=0,H32=""),"",H92/H32)</f>
        <v/>
      </c>
      <c r="J92" s="26"/>
      <c r="K92" s="31" t="str">
        <f>IF(OR(J32=0,J32=""),"",J92/J32)</f>
        <v/>
      </c>
      <c r="L92" s="26"/>
      <c r="M92" s="31" t="str">
        <f>IF(OR(L32=0,L32=""),"",L92/L32)</f>
        <v/>
      </c>
    </row>
    <row r="93" spans="1:13" x14ac:dyDescent="0.2">
      <c r="A93" s="25" t="s">
        <v>256</v>
      </c>
      <c r="B93" s="26"/>
      <c r="C93" s="31" t="str">
        <f>IF(OR(B32=0,B32=""),"",B93/B32)</f>
        <v/>
      </c>
      <c r="D93" s="26"/>
      <c r="E93" s="31" t="str">
        <f>IF(OR(D32=0,D32=""),"",D93/D32)</f>
        <v/>
      </c>
      <c r="F93" s="26"/>
      <c r="G93" s="31" t="str">
        <f>IF(OR(F32=0,F32=""),"",F93/F32)</f>
        <v/>
      </c>
      <c r="H93" s="26"/>
      <c r="I93" s="31" t="str">
        <f>IF(OR(H32=0,H32=""),"",H93/H32)</f>
        <v/>
      </c>
      <c r="J93" s="26"/>
      <c r="K93" s="31" t="str">
        <f>IF(OR(J32=0,J32=""),"",J93/J32)</f>
        <v/>
      </c>
      <c r="L93" s="26"/>
      <c r="M93" s="31" t="str">
        <f>IF(OR(L32=0,L32=""),"",L93/L32)</f>
        <v/>
      </c>
    </row>
    <row r="94" spans="1:13" x14ac:dyDescent="0.2">
      <c r="A94" s="25" t="s">
        <v>193</v>
      </c>
      <c r="B94" s="26"/>
      <c r="C94" s="31" t="str">
        <f>IF(OR(B32=0,B32=""),"",B94/B32)</f>
        <v/>
      </c>
      <c r="D94" s="26"/>
      <c r="E94" s="31" t="str">
        <f>IF(OR(D32=0,D32=""),"",D94/D32)</f>
        <v/>
      </c>
      <c r="F94" s="26"/>
      <c r="G94" s="31" t="str">
        <f>IF(OR(F32=0,F32=""),"",F94/F32)</f>
        <v/>
      </c>
      <c r="H94" s="26"/>
      <c r="I94" s="31" t="str">
        <f>IF(OR(H32=0,H32=""),"",H94/H32)</f>
        <v/>
      </c>
      <c r="J94" s="26"/>
      <c r="K94" s="31" t="str">
        <f>IF(OR(J32=0,J32=""),"",J94/J32)</f>
        <v/>
      </c>
      <c r="L94" s="26"/>
      <c r="M94" s="31" t="str">
        <f>IF(OR(L32=0,L32=""),"",L94/L32)</f>
        <v/>
      </c>
    </row>
    <row r="95" spans="1:13" x14ac:dyDescent="0.2">
      <c r="A95" s="25" t="s">
        <v>194</v>
      </c>
      <c r="B95" s="26"/>
      <c r="C95" s="31" t="str">
        <f>IF(OR(B32=0,B32=""),"",B95/B32)</f>
        <v/>
      </c>
      <c r="D95" s="26"/>
      <c r="E95" s="31" t="str">
        <f>IF(OR(D32=0,D32=""),"",D95/D32)</f>
        <v/>
      </c>
      <c r="F95" s="26"/>
      <c r="G95" s="31" t="str">
        <f>IF(OR(F32=0,F32=""),"",F95/F32)</f>
        <v/>
      </c>
      <c r="H95" s="26"/>
      <c r="I95" s="31" t="str">
        <f>IF(OR(H32=0,H32=""),"",H95/H32)</f>
        <v/>
      </c>
      <c r="J95" s="26"/>
      <c r="K95" s="31" t="str">
        <f>IF(OR(J32=0,J32=""),"",J95/J32)</f>
        <v/>
      </c>
      <c r="L95" s="26"/>
      <c r="M95" s="31" t="str">
        <f>IF(OR(L32=0,L32=""),"",L95/L32)</f>
        <v/>
      </c>
    </row>
    <row r="96" spans="1:13" x14ac:dyDescent="0.2">
      <c r="A96" s="25" t="s">
        <v>195</v>
      </c>
      <c r="B96" s="26"/>
      <c r="C96" s="31" t="str">
        <f>IF(OR(B32=0,B32=""),"",B96/B32)</f>
        <v/>
      </c>
      <c r="D96" s="26"/>
      <c r="E96" s="31" t="str">
        <f>IF(OR(D32=0,D32=""),"",D96/D32)</f>
        <v/>
      </c>
      <c r="F96" s="26"/>
      <c r="G96" s="31" t="str">
        <f>IF(OR(F32=0,F32=""),"",F96/F32)</f>
        <v/>
      </c>
      <c r="H96" s="26"/>
      <c r="I96" s="31" t="str">
        <f>IF(OR(H32=0,H32=""),"",H96/H32)</f>
        <v/>
      </c>
      <c r="J96" s="26"/>
      <c r="K96" s="31" t="str">
        <f>IF(OR(J32=0,J32=""),"",J96/J32)</f>
        <v/>
      </c>
      <c r="L96" s="26"/>
      <c r="M96" s="31" t="str">
        <f>IF(OR(L32=0,L32=""),"",L96/L32)</f>
        <v/>
      </c>
    </row>
    <row r="97" spans="1:13" x14ac:dyDescent="0.2">
      <c r="A97" s="25" t="s">
        <v>196</v>
      </c>
      <c r="B97" s="26"/>
      <c r="C97" s="31" t="str">
        <f>IF(OR(B32=0,B32=""),"",B97/B32)</f>
        <v/>
      </c>
      <c r="D97" s="26"/>
      <c r="E97" s="31" t="str">
        <f>IF(OR(D32=0,D32=""),"",D97/D32)</f>
        <v/>
      </c>
      <c r="F97" s="26"/>
      <c r="G97" s="31" t="str">
        <f>IF(OR(F32=0,F32=""),"",F97/F32)</f>
        <v/>
      </c>
      <c r="H97" s="26"/>
      <c r="I97" s="31" t="str">
        <f>IF(OR(H32=0,H32=""),"",H97/H32)</f>
        <v/>
      </c>
      <c r="J97" s="26"/>
      <c r="K97" s="31" t="str">
        <f>IF(OR(J32=0,J32=""),"",J97/J32)</f>
        <v/>
      </c>
      <c r="L97" s="26"/>
      <c r="M97" s="31" t="str">
        <f>IF(OR(L32=0,L32=""),"",L97/L32)</f>
        <v/>
      </c>
    </row>
    <row r="98" spans="1:13" x14ac:dyDescent="0.2">
      <c r="A98" s="25" t="s">
        <v>197</v>
      </c>
      <c r="B98" s="26"/>
      <c r="C98" s="31" t="str">
        <f>IF(OR(B32=0,B32=""),"",B98/B32)</f>
        <v/>
      </c>
      <c r="D98" s="26"/>
      <c r="E98" s="31" t="str">
        <f>IF(OR(D32=0,D32=""),"",D98/D32)</f>
        <v/>
      </c>
      <c r="F98" s="26"/>
      <c r="G98" s="31" t="str">
        <f>IF(OR(F32=0,F32=""),"",F98/F32)</f>
        <v/>
      </c>
      <c r="H98" s="26"/>
      <c r="I98" s="31" t="str">
        <f>IF(OR(H32=0,H32=""),"",H98/H32)</f>
        <v/>
      </c>
      <c r="J98" s="26"/>
      <c r="K98" s="31" t="str">
        <f>IF(OR(J32=0,J32=""),"",J98/J32)</f>
        <v/>
      </c>
      <c r="L98" s="26"/>
      <c r="M98" s="31" t="str">
        <f>IF(OR(L32=0,L32=""),"",L98/L32)</f>
        <v/>
      </c>
    </row>
    <row r="99" spans="1:13" x14ac:dyDescent="0.2">
      <c r="A99" s="25" t="s">
        <v>198</v>
      </c>
      <c r="B99" s="26"/>
      <c r="C99" s="31" t="str">
        <f>IF(OR(B32=0,B32=""),"",B99/B32)</f>
        <v/>
      </c>
      <c r="D99" s="26"/>
      <c r="E99" s="31" t="str">
        <f>IF(OR(D32=0,D32=""),"",D99/D32)</f>
        <v/>
      </c>
      <c r="F99" s="26"/>
      <c r="G99" s="31" t="str">
        <f>IF(OR(F32=0,F32=""),"",F99/F32)</f>
        <v/>
      </c>
      <c r="H99" s="26"/>
      <c r="I99" s="31" t="str">
        <f>IF(OR(H32=0,H32=""),"",H99/H32)</f>
        <v/>
      </c>
      <c r="J99" s="26"/>
      <c r="K99" s="31" t="str">
        <f>IF(OR(J32=0,J32=""),"",J99/J32)</f>
        <v/>
      </c>
      <c r="L99" s="26"/>
      <c r="M99" s="31" t="str">
        <f>IF(OR(L32=0,L32=""),"",L99/L32)</f>
        <v/>
      </c>
    </row>
    <row r="100" spans="1:13" x14ac:dyDescent="0.2">
      <c r="A100" s="25" t="s">
        <v>199</v>
      </c>
      <c r="B100" s="26"/>
      <c r="C100" s="31" t="str">
        <f>IF(OR(B32=0,B32=""),"",B100/B32)</f>
        <v/>
      </c>
      <c r="D100" s="26"/>
      <c r="E100" s="31" t="str">
        <f>IF(OR(D32=0,D32=""),"",D100/D32)</f>
        <v/>
      </c>
      <c r="F100" s="26"/>
      <c r="G100" s="31" t="str">
        <f>IF(OR(F32=0,F32=""),"",F100/F32)</f>
        <v/>
      </c>
      <c r="H100" s="26"/>
      <c r="I100" s="31" t="str">
        <f>IF(OR(H32=0,H32=""),"",H100/H32)</f>
        <v/>
      </c>
      <c r="J100" s="26"/>
      <c r="K100" s="31" t="str">
        <f>IF(OR(J32=0,J32=""),"",J100/J32)</f>
        <v/>
      </c>
      <c r="L100" s="26"/>
      <c r="M100" s="31" t="str">
        <f>IF(OR(L32=0,L32=""),"",L100/L32)</f>
        <v/>
      </c>
    </row>
    <row r="101" spans="1:13" x14ac:dyDescent="0.2">
      <c r="A101" s="25" t="s">
        <v>200</v>
      </c>
      <c r="B101" s="26"/>
      <c r="C101" s="31" t="str">
        <f>IF(OR(B32=0,B32=""),"",B101/B32)</f>
        <v/>
      </c>
      <c r="D101" s="26"/>
      <c r="E101" s="31" t="str">
        <f>IF(OR(D32=0,D32=""),"",D101/D32)</f>
        <v/>
      </c>
      <c r="F101" s="26"/>
      <c r="G101" s="31" t="str">
        <f>IF(OR(F32=0,F32=""),"",F101/F32)</f>
        <v/>
      </c>
      <c r="H101" s="26"/>
      <c r="I101" s="31" t="str">
        <f>IF(OR(H32=0,H32=""),"",H101/H32)</f>
        <v/>
      </c>
      <c r="J101" s="26"/>
      <c r="K101" s="31" t="str">
        <f>IF(OR(J32=0,J32=""),"",J101/J32)</f>
        <v/>
      </c>
      <c r="L101" s="26"/>
      <c r="M101" s="31" t="str">
        <f>IF(OR(L32=0,L32=""),"",L101/L32)</f>
        <v/>
      </c>
    </row>
    <row r="102" spans="1:13" x14ac:dyDescent="0.2">
      <c r="A102" s="25" t="s">
        <v>201</v>
      </c>
      <c r="B102" s="26"/>
      <c r="C102" s="31" t="str">
        <f>IF(OR(B32=0,B32=""),"",B102/B32)</f>
        <v/>
      </c>
      <c r="D102" s="26"/>
      <c r="E102" s="31" t="str">
        <f>IF(OR(D32=0,D32=""),"",D102/D32)</f>
        <v/>
      </c>
      <c r="F102" s="26"/>
      <c r="G102" s="31" t="str">
        <f>IF(OR(F32=0,F32=""),"",F102/F32)</f>
        <v/>
      </c>
      <c r="H102" s="26"/>
      <c r="I102" s="31" t="str">
        <f>IF(OR(H32=0,H32=""),"",H102/H32)</f>
        <v/>
      </c>
      <c r="J102" s="26"/>
      <c r="K102" s="31" t="str">
        <f>IF(OR(J32=0,J32=""),"",J102/J32)</f>
        <v/>
      </c>
      <c r="L102" s="26"/>
      <c r="M102" s="31" t="str">
        <f>IF(OR(L32=0,L32=""),"",L102/L32)</f>
        <v/>
      </c>
    </row>
    <row r="103" spans="1:13" x14ac:dyDescent="0.2">
      <c r="A103" s="25" t="s">
        <v>257</v>
      </c>
      <c r="B103" s="26"/>
      <c r="C103" s="31" t="str">
        <f>IF(OR(B32=0,B32=""),"",B103/B32)</f>
        <v/>
      </c>
      <c r="D103" s="26"/>
      <c r="E103" s="31" t="str">
        <f>IF(OR(D32=0,D32=""),"",D103/D32)</f>
        <v/>
      </c>
      <c r="F103" s="26"/>
      <c r="G103" s="31" t="str">
        <f>IF(OR(F32=0,F32=""),"",F103/F32)</f>
        <v/>
      </c>
      <c r="H103" s="26"/>
      <c r="I103" s="31" t="str">
        <f>IF(OR(H32=0,H32=""),"",H103/H32)</f>
        <v/>
      </c>
      <c r="J103" s="26"/>
      <c r="K103" s="31" t="str">
        <f>IF(OR(J32=0,J32=""),"",J103/J32)</f>
        <v/>
      </c>
      <c r="L103" s="26"/>
      <c r="M103" s="31" t="str">
        <f>IF(OR(L32=0,L32=""),"",L103/L32)</f>
        <v/>
      </c>
    </row>
    <row r="104" spans="1:13" x14ac:dyDescent="0.2">
      <c r="A104" s="35" t="s">
        <v>202</v>
      </c>
      <c r="B104" s="36">
        <f>B67+B68+B69+B70+B71+B72+B73+B74+B75+B76+B77+B78+B79+B80+B81+B82+B83+B84+B85+B86+B87+B88+B89+B90+B91+B92+B93+B94+B95+B96+B97+B98+B99+B100+B101+B102+B103</f>
        <v>0</v>
      </c>
      <c r="C104" s="37" t="str">
        <f>IF(OR(B32=0,B32=""),"",B104/B32)</f>
        <v/>
      </c>
      <c r="D104" s="36">
        <f>D67+D68+D69+D70+D71+D72+D73+D74+D75+D76+D77+D78+D79+D80+D81+D82+D83+D84+D85+D86+D87+D88+D89+D90+D91+D92+D93+D94+D95+D96+D97+D98+D99+D100+D101+D102+D103</f>
        <v>0</v>
      </c>
      <c r="E104" s="37" t="str">
        <f>IF(OR(D32=0,D32=""),"",D104/D32)</f>
        <v/>
      </c>
      <c r="F104" s="36">
        <f>F67+F68+F69+F70+F71+F72+F73+F74+F75+F76+F77+F78+F79+F80+F81+F82+F83+F84+F85+F86+F87+F88+F89+F90+F91+F92+F93+F94+F95+F96+F97+F98+F99+F100+F101+F102+F103</f>
        <v>0</v>
      </c>
      <c r="G104" s="37" t="str">
        <f>IF(OR(F32=0,F32=""),"",F104/F32)</f>
        <v/>
      </c>
      <c r="H104" s="36">
        <f>H67+H68+H69+H70+H71+H72+H73+H74+H75+H76+H77+H78+H79+H80+H81+H82+H83+H84+H85+H86+H87+H88+H89+H90+H91+H92+H93+H94+H95+H96+H97+H98+H99+H100+H101+H102+H103</f>
        <v>0</v>
      </c>
      <c r="I104" s="37" t="str">
        <f>IF(OR(H32=0,H32=""),"",H104/H32)</f>
        <v/>
      </c>
      <c r="J104" s="36">
        <f>J67+J68+J69+J70+J71+J72+J73+J74+J75+J76+J77+J78+J79+J80+J81+J82+J83+J84+J85+J86+J87+J88+J89+J90+J91+J92+J93+J94+J95+J96+J97+J98+J99+J100+J101+J102+J103</f>
        <v>0</v>
      </c>
      <c r="K104" s="37" t="str">
        <f>IF(OR(J32=0,J32=""),"",J104/J32)</f>
        <v/>
      </c>
      <c r="L104" s="36">
        <f>L67+L68+L69+L70+L71+L72+L73+L74+L75+L76+L77+L78+L79+L80+L81+L82+L83+L84+L85+L86+L87+L88+L89+L90+L91+L92+L93+L94+L95+L96+L97+L98+L99+L100+L101+L102+L103</f>
        <v>0</v>
      </c>
      <c r="M104" s="37" t="str">
        <f>IF(OR(L32=0,L32=""),"",L104/L32)</f>
        <v/>
      </c>
    </row>
    <row r="105" spans="1:13" x14ac:dyDescent="0.2">
      <c r="A105" s="32" t="s">
        <v>203</v>
      </c>
      <c r="B105" s="33">
        <f>B65+B104</f>
        <v>0</v>
      </c>
      <c r="C105" s="34" t="str">
        <f>IF(OR(B32=0,B32=""),"",B105/B32)</f>
        <v/>
      </c>
      <c r="D105" s="33">
        <f>D65+D104</f>
        <v>0</v>
      </c>
      <c r="E105" s="34" t="str">
        <f>IF(OR(D32=0,D32=""),"",D105/D32)</f>
        <v/>
      </c>
      <c r="F105" s="33">
        <f>F65+F104</f>
        <v>0</v>
      </c>
      <c r="G105" s="34" t="str">
        <f>IF(OR(F32=0,F32=""),"",F105/F32)</f>
        <v/>
      </c>
      <c r="H105" s="33">
        <f>H65+H104</f>
        <v>0</v>
      </c>
      <c r="I105" s="34" t="str">
        <f>IF(OR(H32=0,H32=""),"",H105/H32)</f>
        <v/>
      </c>
      <c r="J105" s="33">
        <f>J65+J104</f>
        <v>0</v>
      </c>
      <c r="K105" s="34" t="str">
        <f>IF(OR(J32=0,J32=""),"",J105/J32)</f>
        <v/>
      </c>
      <c r="L105" s="33">
        <f>L65+L104</f>
        <v>0</v>
      </c>
      <c r="M105" s="34" t="str">
        <f>IF(OR(L32=0,L32=""),"",L105/L32)</f>
        <v/>
      </c>
    </row>
    <row r="106" spans="1:13" x14ac:dyDescent="0.2">
      <c r="A106" s="38" t="s">
        <v>204</v>
      </c>
      <c r="B106" s="39">
        <f>B43-B104</f>
        <v>0</v>
      </c>
      <c r="C106" s="40" t="str">
        <f>IF(OR(B32=0,B32=""),"",B106/B32)</f>
        <v/>
      </c>
      <c r="D106" s="39">
        <f>D43-D104</f>
        <v>0</v>
      </c>
      <c r="E106" s="40" t="str">
        <f>IF(OR(D32=0,D32=""),"",D106/D32)</f>
        <v/>
      </c>
      <c r="F106" s="39">
        <f>F43-F104</f>
        <v>0</v>
      </c>
      <c r="G106" s="40" t="str">
        <f>IF(OR(F32=0,F32=""),"",F106/F32)</f>
        <v/>
      </c>
      <c r="H106" s="39">
        <f>H43-H104</f>
        <v>0</v>
      </c>
      <c r="I106" s="40" t="str">
        <f>IF(OR(H32=0,H32=""),"",H106/H32)</f>
        <v/>
      </c>
      <c r="J106" s="39">
        <f>J43-J104</f>
        <v>0</v>
      </c>
      <c r="K106" s="40" t="str">
        <f>IF(OR(J32=0,J32=""),"",J106/J32)</f>
        <v/>
      </c>
      <c r="L106" s="39">
        <f>L43-L104</f>
        <v>0</v>
      </c>
      <c r="M106" s="40" t="str">
        <f>IF(OR(L32=0,L32=""),"",L106/L32)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M27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259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260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261</v>
      </c>
      <c r="B8" s="26"/>
      <c r="C8" s="31" t="str">
        <f>IF(OR(B13=0,B13=""),"",B8/B13)</f>
        <v/>
      </c>
      <c r="D8" s="26"/>
      <c r="E8" s="31" t="str">
        <f>IF(OR(D13=0,D13=""),"",D8/D13)</f>
        <v/>
      </c>
      <c r="F8" s="26"/>
      <c r="G8" s="31" t="str">
        <f>IF(OR(F13=0,F13=""),"",F8/F13)</f>
        <v/>
      </c>
      <c r="H8" s="26"/>
      <c r="I8" s="31" t="str">
        <f>IF(OR(H13=0,H13=""),"",H8/H13)</f>
        <v/>
      </c>
      <c r="J8" s="26"/>
      <c r="K8" s="31" t="str">
        <f>IF(OR(J13=0,J13=""),"",J8/J13)</f>
        <v/>
      </c>
      <c r="L8" s="26"/>
      <c r="M8" s="31" t="str">
        <f>IF(OR(L13=0,L13=""),"",L8/L13)</f>
        <v/>
      </c>
    </row>
    <row r="9" spans="1:13" x14ac:dyDescent="0.2">
      <c r="A9" s="25" t="s">
        <v>262</v>
      </c>
      <c r="B9" s="26"/>
      <c r="C9" s="31" t="str">
        <f>IF(OR(B13=0,B13=""),"",B9/B13)</f>
        <v/>
      </c>
      <c r="D9" s="26"/>
      <c r="E9" s="31" t="str">
        <f>IF(OR(D13=0,D13=""),"",D9/D13)</f>
        <v/>
      </c>
      <c r="F9" s="26"/>
      <c r="G9" s="31" t="str">
        <f>IF(OR(F13=0,F13=""),"",F9/F13)</f>
        <v/>
      </c>
      <c r="H9" s="26"/>
      <c r="I9" s="31" t="str">
        <f>IF(OR(H13=0,H13=""),"",H9/H13)</f>
        <v/>
      </c>
      <c r="J9" s="26"/>
      <c r="K9" s="31" t="str">
        <f>IF(OR(J13=0,J13=""),"",J9/J13)</f>
        <v/>
      </c>
      <c r="L9" s="26"/>
      <c r="M9" s="31" t="str">
        <f>IF(OR(L13=0,L13=""),"",L9/L13)</f>
        <v/>
      </c>
    </row>
    <row r="10" spans="1:13" x14ac:dyDescent="0.2">
      <c r="A10" s="25" t="s">
        <v>263</v>
      </c>
      <c r="B10" s="26"/>
      <c r="C10" s="31" t="str">
        <f>IF(OR(B13=0,B13=""),"",B10/B13)</f>
        <v/>
      </c>
      <c r="D10" s="26"/>
      <c r="E10" s="31" t="str">
        <f>IF(OR(D13=0,D13=""),"",D10/D13)</f>
        <v/>
      </c>
      <c r="F10" s="26"/>
      <c r="G10" s="31" t="str">
        <f>IF(OR(F13=0,F13=""),"",F10/F13)</f>
        <v/>
      </c>
      <c r="H10" s="26"/>
      <c r="I10" s="31" t="str">
        <f>IF(OR(H13=0,H13=""),"",H10/H13)</f>
        <v/>
      </c>
      <c r="J10" s="26"/>
      <c r="K10" s="31" t="str">
        <f>IF(OR(J13=0,J13=""),"",J10/J13)</f>
        <v/>
      </c>
      <c r="L10" s="26"/>
      <c r="M10" s="31" t="str">
        <f>IF(OR(L13=0,L13=""),"",L10/L13)</f>
        <v/>
      </c>
    </row>
    <row r="11" spans="1:13" x14ac:dyDescent="0.2">
      <c r="A11" s="25" t="s">
        <v>264</v>
      </c>
      <c r="B11" s="26"/>
      <c r="C11" s="31" t="str">
        <f>IF(OR(B13=0,B13=""),"",B11/B13)</f>
        <v/>
      </c>
      <c r="D11" s="26"/>
      <c r="E11" s="31" t="str">
        <f>IF(OR(D13=0,D13=""),"",D11/D13)</f>
        <v/>
      </c>
      <c r="F11" s="26"/>
      <c r="G11" s="31" t="str">
        <f>IF(OR(F13=0,F13=""),"",F11/F13)</f>
        <v/>
      </c>
      <c r="H11" s="26"/>
      <c r="I11" s="31" t="str">
        <f>IF(OR(H13=0,H13=""),"",H11/H13)</f>
        <v/>
      </c>
      <c r="J11" s="26"/>
      <c r="K11" s="31" t="str">
        <f>IF(OR(J13=0,J13=""),"",J11/J13)</f>
        <v/>
      </c>
      <c r="L11" s="26"/>
      <c r="M11" s="31" t="str">
        <f>IF(OR(L13=0,L13=""),"",L11/L13)</f>
        <v/>
      </c>
    </row>
    <row r="12" spans="1:13" x14ac:dyDescent="0.2">
      <c r="A12" s="25" t="s">
        <v>265</v>
      </c>
      <c r="B12" s="26"/>
      <c r="C12" s="31" t="str">
        <f>IF(OR(B13=0,B13=""),"",B12/B13)</f>
        <v/>
      </c>
      <c r="D12" s="26"/>
      <c r="E12" s="31" t="str">
        <f>IF(OR(D13=0,D13=""),"",D12/D13)</f>
        <v/>
      </c>
      <c r="F12" s="26"/>
      <c r="G12" s="31" t="str">
        <f>IF(OR(F13=0,F13=""),"",F12/F13)</f>
        <v/>
      </c>
      <c r="H12" s="26"/>
      <c r="I12" s="31" t="str">
        <f>IF(OR(H13=0,H13=""),"",H12/H13)</f>
        <v/>
      </c>
      <c r="J12" s="26"/>
      <c r="K12" s="31" t="str">
        <f>IF(OR(J13=0,J13=""),"",J12/J13)</f>
        <v/>
      </c>
      <c r="L12" s="26"/>
      <c r="M12" s="31" t="str">
        <f>IF(OR(L13=0,L13=""),"",L12/L13)</f>
        <v/>
      </c>
    </row>
    <row r="13" spans="1:13" x14ac:dyDescent="0.2">
      <c r="A13" s="32" t="s">
        <v>266</v>
      </c>
      <c r="B13" s="33">
        <f>B8+B9+B10+B11+B12</f>
        <v>0</v>
      </c>
      <c r="C13" s="34" t="str">
        <f>IF(OR(B13=0,B13=""),"",B13/B13)</f>
        <v/>
      </c>
      <c r="D13" s="33">
        <f>D8+D9+D10+D11+D12</f>
        <v>0</v>
      </c>
      <c r="E13" s="34" t="str">
        <f>IF(OR(D13=0,D13=""),"",D13/D13)</f>
        <v/>
      </c>
      <c r="F13" s="33">
        <f>F8+F9+F10+F11+F12</f>
        <v>0</v>
      </c>
      <c r="G13" s="34" t="str">
        <f>IF(OR(F13=0,F13=""),"",F13/F13)</f>
        <v/>
      </c>
      <c r="H13" s="33">
        <f>H8+H9+H10+H11+H12</f>
        <v>0</v>
      </c>
      <c r="I13" s="34" t="str">
        <f>IF(OR(H13=0,H13=""),"",H13/H13)</f>
        <v/>
      </c>
      <c r="J13" s="33">
        <f>J8+J9+J10+J11+J12</f>
        <v>0</v>
      </c>
      <c r="K13" s="34" t="str">
        <f>IF(OR(J13=0,J13=""),"",J13/J13)</f>
        <v/>
      </c>
      <c r="L13" s="33">
        <f>L8+L9+L10+L11+L12</f>
        <v>0</v>
      </c>
      <c r="M13" s="34" t="str">
        <f>IF(OR(L13=0,L13=""),"",L13/L13)</f>
        <v/>
      </c>
    </row>
    <row r="14" spans="1:13" x14ac:dyDescent="0.2">
      <c r="A14" s="23" t="s">
        <v>267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x14ac:dyDescent="0.2">
      <c r="A15" s="25" t="s">
        <v>261</v>
      </c>
      <c r="B15" s="26"/>
      <c r="C15" s="31" t="str">
        <f>IF(OR(B13=0,B13=""),"",B15/B13)</f>
        <v/>
      </c>
      <c r="D15" s="26"/>
      <c r="E15" s="31" t="str">
        <f>IF(OR(D13=0,D13=""),"",D15/D13)</f>
        <v/>
      </c>
      <c r="F15" s="26"/>
      <c r="G15" s="31" t="str">
        <f>IF(OR(F13=0,F13=""),"",F15/F13)</f>
        <v/>
      </c>
      <c r="H15" s="26"/>
      <c r="I15" s="31" t="str">
        <f>IF(OR(H13=0,H13=""),"",H15/H13)</f>
        <v/>
      </c>
      <c r="J15" s="26"/>
      <c r="K15" s="31" t="str">
        <f>IF(OR(J13=0,J13=""),"",J15/J13)</f>
        <v/>
      </c>
      <c r="L15" s="26"/>
      <c r="M15" s="31" t="str">
        <f>IF(OR(L13=0,L13=""),"",L15/L13)</f>
        <v/>
      </c>
    </row>
    <row r="16" spans="1:13" x14ac:dyDescent="0.2">
      <c r="A16" s="25" t="s">
        <v>262</v>
      </c>
      <c r="B16" s="26"/>
      <c r="C16" s="31" t="str">
        <f>IF(OR(B13=0,B13=""),"",B16/B13)</f>
        <v/>
      </c>
      <c r="D16" s="26"/>
      <c r="E16" s="31" t="str">
        <f>IF(OR(D13=0,D13=""),"",D16/D13)</f>
        <v/>
      </c>
      <c r="F16" s="26"/>
      <c r="G16" s="31" t="str">
        <f>IF(OR(F13=0,F13=""),"",F16/F13)</f>
        <v/>
      </c>
      <c r="H16" s="26"/>
      <c r="I16" s="31" t="str">
        <f>IF(OR(H13=0,H13=""),"",H16/H13)</f>
        <v/>
      </c>
      <c r="J16" s="26"/>
      <c r="K16" s="31" t="str">
        <f>IF(OR(J13=0,J13=""),"",J16/J13)</f>
        <v/>
      </c>
      <c r="L16" s="26"/>
      <c r="M16" s="31" t="str">
        <f>IF(OR(L13=0,L13=""),"",L16/L13)</f>
        <v/>
      </c>
    </row>
    <row r="17" spans="1:13" x14ac:dyDescent="0.2">
      <c r="A17" s="25" t="s">
        <v>263</v>
      </c>
      <c r="B17" s="26"/>
      <c r="C17" s="31" t="str">
        <f>IF(OR(B13=0,B13=""),"",B17/B13)</f>
        <v/>
      </c>
      <c r="D17" s="26"/>
      <c r="E17" s="31" t="str">
        <f>IF(OR(D13=0,D13=""),"",D17/D13)</f>
        <v/>
      </c>
      <c r="F17" s="26"/>
      <c r="G17" s="31" t="str">
        <f>IF(OR(F13=0,F13=""),"",F17/F13)</f>
        <v/>
      </c>
      <c r="H17" s="26"/>
      <c r="I17" s="31" t="str">
        <f>IF(OR(H13=0,H13=""),"",H17/H13)</f>
        <v/>
      </c>
      <c r="J17" s="26"/>
      <c r="K17" s="31" t="str">
        <f>IF(OR(J13=0,J13=""),"",J17/J13)</f>
        <v/>
      </c>
      <c r="L17" s="26"/>
      <c r="M17" s="31" t="str">
        <f>IF(OR(L13=0,L13=""),"",L17/L13)</f>
        <v/>
      </c>
    </row>
    <row r="18" spans="1:13" x14ac:dyDescent="0.2">
      <c r="A18" s="25" t="s">
        <v>264</v>
      </c>
      <c r="B18" s="26"/>
      <c r="C18" s="31" t="str">
        <f>IF(OR(B13=0,B13=""),"",B18/B13)</f>
        <v/>
      </c>
      <c r="D18" s="26"/>
      <c r="E18" s="31" t="str">
        <f>IF(OR(D13=0,D13=""),"",D18/D13)</f>
        <v/>
      </c>
      <c r="F18" s="26"/>
      <c r="G18" s="31" t="str">
        <f>IF(OR(F13=0,F13=""),"",F18/F13)</f>
        <v/>
      </c>
      <c r="H18" s="26"/>
      <c r="I18" s="31" t="str">
        <f>IF(OR(H13=0,H13=""),"",H18/H13)</f>
        <v/>
      </c>
      <c r="J18" s="26"/>
      <c r="K18" s="31" t="str">
        <f>IF(OR(J13=0,J13=""),"",J18/J13)</f>
        <v/>
      </c>
      <c r="L18" s="26"/>
      <c r="M18" s="31" t="str">
        <f>IF(OR(L13=0,L13=""),"",L18/L13)</f>
        <v/>
      </c>
    </row>
    <row r="19" spans="1:13" x14ac:dyDescent="0.2">
      <c r="A19" s="25" t="s">
        <v>265</v>
      </c>
      <c r="B19" s="26"/>
      <c r="C19" s="31" t="str">
        <f>IF(OR(B13=0,B13=""),"",B19/B13)</f>
        <v/>
      </c>
      <c r="D19" s="26"/>
      <c r="E19" s="31" t="str">
        <f>IF(OR(D13=0,D13=""),"",D19/D13)</f>
        <v/>
      </c>
      <c r="F19" s="26"/>
      <c r="G19" s="31" t="str">
        <f>IF(OR(F13=0,F13=""),"",F19/F13)</f>
        <v/>
      </c>
      <c r="H19" s="26"/>
      <c r="I19" s="31" t="str">
        <f>IF(OR(H13=0,H13=""),"",H19/H13)</f>
        <v/>
      </c>
      <c r="J19" s="26"/>
      <c r="K19" s="31" t="str">
        <f>IF(OR(J13=0,J13=""),"",J19/J13)</f>
        <v/>
      </c>
      <c r="L19" s="26"/>
      <c r="M19" s="31" t="str">
        <f>IF(OR(L13=0,L13=""),"",L19/L13)</f>
        <v/>
      </c>
    </row>
    <row r="20" spans="1:13" x14ac:dyDescent="0.2">
      <c r="A20" s="32" t="s">
        <v>268</v>
      </c>
      <c r="B20" s="33">
        <f>B15+B16+B17+B18+B19</f>
        <v>0</v>
      </c>
      <c r="C20" s="34" t="str">
        <f>IF(OR(B13=0,B13=""),"",B20/B13)</f>
        <v/>
      </c>
      <c r="D20" s="33">
        <f>D15+D16+D17+D18+D19</f>
        <v>0</v>
      </c>
      <c r="E20" s="34" t="str">
        <f>IF(OR(D13=0,D13=""),"",D20/D13)</f>
        <v/>
      </c>
      <c r="F20" s="33">
        <f>F15+F16+F17+F18+F19</f>
        <v>0</v>
      </c>
      <c r="G20" s="34" t="str">
        <f>IF(OR(F13=0,F13=""),"",F20/F13)</f>
        <v/>
      </c>
      <c r="H20" s="33">
        <f>H15+H16+H17+H18+H19</f>
        <v>0</v>
      </c>
      <c r="I20" s="34" t="str">
        <f>IF(OR(H13=0,H13=""),"",H20/H13)</f>
        <v/>
      </c>
      <c r="J20" s="33">
        <f>J15+J16+J17+J18+J19</f>
        <v>0</v>
      </c>
      <c r="K20" s="34" t="str">
        <f>IF(OR(J13=0,J13=""),"",J20/J13)</f>
        <v/>
      </c>
      <c r="L20" s="33">
        <f>L15+L16+L17+L18+L19</f>
        <v>0</v>
      </c>
      <c r="M20" s="34" t="str">
        <f>IF(OR(L13=0,L13=""),"",L20/L13)</f>
        <v/>
      </c>
    </row>
    <row r="21" spans="1:13" x14ac:dyDescent="0.2">
      <c r="A21" s="23" t="s">
        <v>204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2">
      <c r="A22" s="25" t="s">
        <v>261</v>
      </c>
      <c r="B22" s="42">
        <f t="shared" ref="B22:B27" si="0">B8-B15</f>
        <v>0</v>
      </c>
      <c r="C22" s="31" t="str">
        <f>IF(OR(B13=0,B13=""),"",B22/B13)</f>
        <v/>
      </c>
      <c r="D22" s="42">
        <f t="shared" ref="D22:D27" si="1">D8-D15</f>
        <v>0</v>
      </c>
      <c r="E22" s="31" t="str">
        <f>IF(OR(D13=0,D13=""),"",D22/D13)</f>
        <v/>
      </c>
      <c r="F22" s="42">
        <f t="shared" ref="F22:F27" si="2">F8-F15</f>
        <v>0</v>
      </c>
      <c r="G22" s="31" t="str">
        <f>IF(OR(F13=0,F13=""),"",F22/F13)</f>
        <v/>
      </c>
      <c r="H22" s="42">
        <f t="shared" ref="H22:H27" si="3">H8-H15</f>
        <v>0</v>
      </c>
      <c r="I22" s="31" t="str">
        <f>IF(OR(H13=0,H13=""),"",H22/H13)</f>
        <v/>
      </c>
      <c r="J22" s="42">
        <f t="shared" ref="J22:J27" si="4">J8-J15</f>
        <v>0</v>
      </c>
      <c r="K22" s="31" t="str">
        <f>IF(OR(J13=0,J13=""),"",J22/J13)</f>
        <v/>
      </c>
      <c r="L22" s="42">
        <f t="shared" ref="L22:L27" si="5">L8-L15</f>
        <v>0</v>
      </c>
      <c r="M22" s="31" t="str">
        <f>IF(OR(L13=0,L13=""),"",L22/L13)</f>
        <v/>
      </c>
    </row>
    <row r="23" spans="1:13" x14ac:dyDescent="0.2">
      <c r="A23" s="25" t="s">
        <v>262</v>
      </c>
      <c r="B23" s="42">
        <f t="shared" si="0"/>
        <v>0</v>
      </c>
      <c r="C23" s="31" t="str">
        <f>IF(OR(B13=0,B13=""),"",B23/B13)</f>
        <v/>
      </c>
      <c r="D23" s="42">
        <f t="shared" si="1"/>
        <v>0</v>
      </c>
      <c r="E23" s="31" t="str">
        <f>IF(OR(D13=0,D13=""),"",D23/D13)</f>
        <v/>
      </c>
      <c r="F23" s="42">
        <f t="shared" si="2"/>
        <v>0</v>
      </c>
      <c r="G23" s="31" t="str">
        <f>IF(OR(F13=0,F13=""),"",F23/F13)</f>
        <v/>
      </c>
      <c r="H23" s="42">
        <f t="shared" si="3"/>
        <v>0</v>
      </c>
      <c r="I23" s="31" t="str">
        <f>IF(OR(H13=0,H13=""),"",H23/H13)</f>
        <v/>
      </c>
      <c r="J23" s="42">
        <f t="shared" si="4"/>
        <v>0</v>
      </c>
      <c r="K23" s="31" t="str">
        <f>IF(OR(J13=0,J13=""),"",J23/J13)</f>
        <v/>
      </c>
      <c r="L23" s="42">
        <f t="shared" si="5"/>
        <v>0</v>
      </c>
      <c r="M23" s="31" t="str">
        <f>IF(OR(L13=0,L13=""),"",L23/L13)</f>
        <v/>
      </c>
    </row>
    <row r="24" spans="1:13" x14ac:dyDescent="0.2">
      <c r="A24" s="25" t="s">
        <v>263</v>
      </c>
      <c r="B24" s="42">
        <f t="shared" si="0"/>
        <v>0</v>
      </c>
      <c r="C24" s="31" t="str">
        <f>IF(OR(B13=0,B13=""),"",B24/B13)</f>
        <v/>
      </c>
      <c r="D24" s="42">
        <f t="shared" si="1"/>
        <v>0</v>
      </c>
      <c r="E24" s="31" t="str">
        <f>IF(OR(D13=0,D13=""),"",D24/D13)</f>
        <v/>
      </c>
      <c r="F24" s="42">
        <f t="shared" si="2"/>
        <v>0</v>
      </c>
      <c r="G24" s="31" t="str">
        <f>IF(OR(F13=0,F13=""),"",F24/F13)</f>
        <v/>
      </c>
      <c r="H24" s="42">
        <f t="shared" si="3"/>
        <v>0</v>
      </c>
      <c r="I24" s="31" t="str">
        <f>IF(OR(H13=0,H13=""),"",H24/H13)</f>
        <v/>
      </c>
      <c r="J24" s="42">
        <f t="shared" si="4"/>
        <v>0</v>
      </c>
      <c r="K24" s="31" t="str">
        <f>IF(OR(J13=0,J13=""),"",J24/J13)</f>
        <v/>
      </c>
      <c r="L24" s="42">
        <f t="shared" si="5"/>
        <v>0</v>
      </c>
      <c r="M24" s="31" t="str">
        <f>IF(OR(L13=0,L13=""),"",L24/L13)</f>
        <v/>
      </c>
    </row>
    <row r="25" spans="1:13" x14ac:dyDescent="0.2">
      <c r="A25" s="25" t="s">
        <v>264</v>
      </c>
      <c r="B25" s="42">
        <f t="shared" si="0"/>
        <v>0</v>
      </c>
      <c r="C25" s="31" t="str">
        <f>IF(OR(B13=0,B13=""),"",B25/B13)</f>
        <v/>
      </c>
      <c r="D25" s="42">
        <f t="shared" si="1"/>
        <v>0</v>
      </c>
      <c r="E25" s="31" t="str">
        <f>IF(OR(D13=0,D13=""),"",D25/D13)</f>
        <v/>
      </c>
      <c r="F25" s="42">
        <f t="shared" si="2"/>
        <v>0</v>
      </c>
      <c r="G25" s="31" t="str">
        <f>IF(OR(F13=0,F13=""),"",F25/F13)</f>
        <v/>
      </c>
      <c r="H25" s="42">
        <f t="shared" si="3"/>
        <v>0</v>
      </c>
      <c r="I25" s="31" t="str">
        <f>IF(OR(H13=0,H13=""),"",H25/H13)</f>
        <v/>
      </c>
      <c r="J25" s="42">
        <f t="shared" si="4"/>
        <v>0</v>
      </c>
      <c r="K25" s="31" t="str">
        <f>IF(OR(J13=0,J13=""),"",J25/J13)</f>
        <v/>
      </c>
      <c r="L25" s="42">
        <f t="shared" si="5"/>
        <v>0</v>
      </c>
      <c r="M25" s="31" t="str">
        <f>IF(OR(L13=0,L13=""),"",L25/L13)</f>
        <v/>
      </c>
    </row>
    <row r="26" spans="1:13" x14ac:dyDescent="0.2">
      <c r="A26" s="25" t="s">
        <v>265</v>
      </c>
      <c r="B26" s="42">
        <f t="shared" si="0"/>
        <v>0</v>
      </c>
      <c r="C26" s="31" t="str">
        <f>IF(OR(B13=0,B13=""),"",B26/B13)</f>
        <v/>
      </c>
      <c r="D26" s="42">
        <f t="shared" si="1"/>
        <v>0</v>
      </c>
      <c r="E26" s="31" t="str">
        <f>IF(OR(D13=0,D13=""),"",D26/D13)</f>
        <v/>
      </c>
      <c r="F26" s="42">
        <f t="shared" si="2"/>
        <v>0</v>
      </c>
      <c r="G26" s="31" t="str">
        <f>IF(OR(F13=0,F13=""),"",F26/F13)</f>
        <v/>
      </c>
      <c r="H26" s="42">
        <f t="shared" si="3"/>
        <v>0</v>
      </c>
      <c r="I26" s="31" t="str">
        <f>IF(OR(H13=0,H13=""),"",H26/H13)</f>
        <v/>
      </c>
      <c r="J26" s="42">
        <f t="shared" si="4"/>
        <v>0</v>
      </c>
      <c r="K26" s="31" t="str">
        <f>IF(OR(J13=0,J13=""),"",J26/J13)</f>
        <v/>
      </c>
      <c r="L26" s="42">
        <f t="shared" si="5"/>
        <v>0</v>
      </c>
      <c r="M26" s="31" t="str">
        <f>IF(OR(L13=0,L13=""),"",L26/L13)</f>
        <v/>
      </c>
    </row>
    <row r="27" spans="1:13" x14ac:dyDescent="0.2">
      <c r="A27" s="38" t="s">
        <v>269</v>
      </c>
      <c r="B27" s="39">
        <f t="shared" si="0"/>
        <v>0</v>
      </c>
      <c r="C27" s="40" t="str">
        <f>IF(OR(B13=0,B13=""),"",B27/B13)</f>
        <v/>
      </c>
      <c r="D27" s="39">
        <f t="shared" si="1"/>
        <v>0</v>
      </c>
      <c r="E27" s="40" t="str">
        <f>IF(OR(D13=0,D13=""),"",D27/D13)</f>
        <v/>
      </c>
      <c r="F27" s="39">
        <f t="shared" si="2"/>
        <v>0</v>
      </c>
      <c r="G27" s="40" t="str">
        <f>IF(OR(F13=0,F13=""),"",F27/F13)</f>
        <v/>
      </c>
      <c r="H27" s="39">
        <f t="shared" si="3"/>
        <v>0</v>
      </c>
      <c r="I27" s="40" t="str">
        <f>IF(OR(H13=0,H13=""),"",H27/H13)</f>
        <v/>
      </c>
      <c r="J27" s="39">
        <f t="shared" si="4"/>
        <v>0</v>
      </c>
      <c r="K27" s="40" t="str">
        <f>IF(OR(J13=0,J13=""),"",J27/J13)</f>
        <v/>
      </c>
      <c r="L27" s="39">
        <f t="shared" si="5"/>
        <v>0</v>
      </c>
      <c r="M27" s="40" t="str">
        <f>IF(OR(L13=0,L13=""),"",L27/L13)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M80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270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129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271</v>
      </c>
      <c r="B8" s="26"/>
      <c r="C8" s="31" t="str">
        <f>IF(OR(B21=0,B21=""),"",B8/B21)</f>
        <v/>
      </c>
      <c r="D8" s="26"/>
      <c r="E8" s="31" t="str">
        <f>IF(OR(D21=0,D21=""),"",D8/D21)</f>
        <v/>
      </c>
      <c r="F8" s="26"/>
      <c r="G8" s="31" t="str">
        <f>IF(OR(F21=0,F21=""),"",F8/F21)</f>
        <v/>
      </c>
      <c r="H8" s="26"/>
      <c r="I8" s="31" t="str">
        <f>IF(OR(H21=0,H21=""),"",H8/H21)</f>
        <v/>
      </c>
      <c r="J8" s="26"/>
      <c r="K8" s="31" t="str">
        <f>IF(OR(J21=0,J21=""),"",J8/J21)</f>
        <v/>
      </c>
      <c r="L8" s="26"/>
      <c r="M8" s="31" t="str">
        <f>IF(OR(L21=0,L21=""),"",L8/L21)</f>
        <v/>
      </c>
    </row>
    <row r="9" spans="1:13" x14ac:dyDescent="0.2">
      <c r="A9" s="25" t="s">
        <v>272</v>
      </c>
      <c r="B9" s="26"/>
      <c r="C9" s="31" t="str">
        <f>IF(OR(B21=0,B21=""),"",B9/B21)</f>
        <v/>
      </c>
      <c r="D9" s="26"/>
      <c r="E9" s="31" t="str">
        <f>IF(OR(D21=0,D21=""),"",D9/D21)</f>
        <v/>
      </c>
      <c r="F9" s="26"/>
      <c r="G9" s="31" t="str">
        <f>IF(OR(F21=0,F21=""),"",F9/F21)</f>
        <v/>
      </c>
      <c r="H9" s="26"/>
      <c r="I9" s="31" t="str">
        <f>IF(OR(H21=0,H21=""),"",H9/H21)</f>
        <v/>
      </c>
      <c r="J9" s="26"/>
      <c r="K9" s="31" t="str">
        <f>IF(OR(J21=0,J21=""),"",J9/J21)</f>
        <v/>
      </c>
      <c r="L9" s="26"/>
      <c r="M9" s="31" t="str">
        <f>IF(OR(L21=0,L21=""),"",L9/L21)</f>
        <v/>
      </c>
    </row>
    <row r="10" spans="1:13" x14ac:dyDescent="0.2">
      <c r="A10" s="25" t="s">
        <v>273</v>
      </c>
      <c r="B10" s="26"/>
      <c r="C10" s="31" t="str">
        <f>IF(OR(B21=0,B21=""),"",B10/B21)</f>
        <v/>
      </c>
      <c r="D10" s="26"/>
      <c r="E10" s="31" t="str">
        <f>IF(OR(D21=0,D21=""),"",D10/D21)</f>
        <v/>
      </c>
      <c r="F10" s="26"/>
      <c r="G10" s="31" t="str">
        <f>IF(OR(F21=0,F21=""),"",F10/F21)</f>
        <v/>
      </c>
      <c r="H10" s="26"/>
      <c r="I10" s="31" t="str">
        <f>IF(OR(H21=0,H21=""),"",H10/H21)</f>
        <v/>
      </c>
      <c r="J10" s="26"/>
      <c r="K10" s="31" t="str">
        <f>IF(OR(J21=0,J21=""),"",J10/J21)</f>
        <v/>
      </c>
      <c r="L10" s="26"/>
      <c r="M10" s="31" t="str">
        <f>IF(OR(L21=0,L21=""),"",L10/L21)</f>
        <v/>
      </c>
    </row>
    <row r="11" spans="1:13" x14ac:dyDescent="0.2">
      <c r="A11" s="25" t="s">
        <v>274</v>
      </c>
      <c r="B11" s="26"/>
      <c r="C11" s="31" t="str">
        <f>IF(OR(B21=0,B21=""),"",B11/B21)</f>
        <v/>
      </c>
      <c r="D11" s="26"/>
      <c r="E11" s="31" t="str">
        <f>IF(OR(D21=0,D21=""),"",D11/D21)</f>
        <v/>
      </c>
      <c r="F11" s="26"/>
      <c r="G11" s="31" t="str">
        <f>IF(OR(F21=0,F21=""),"",F11/F21)</f>
        <v/>
      </c>
      <c r="H11" s="26"/>
      <c r="I11" s="31" t="str">
        <f>IF(OR(H21=0,H21=""),"",H11/H21)</f>
        <v/>
      </c>
      <c r="J11" s="26"/>
      <c r="K11" s="31" t="str">
        <f>IF(OR(J21=0,J21=""),"",J11/J21)</f>
        <v/>
      </c>
      <c r="L11" s="26"/>
      <c r="M11" s="31" t="str">
        <f>IF(OR(L21=0,L21=""),"",L11/L21)</f>
        <v/>
      </c>
    </row>
    <row r="12" spans="1:13" x14ac:dyDescent="0.2">
      <c r="A12" s="25" t="s">
        <v>275</v>
      </c>
      <c r="B12" s="26"/>
      <c r="C12" s="31" t="str">
        <f>IF(OR(B21=0,B21=""),"",B12/B21)</f>
        <v/>
      </c>
      <c r="D12" s="26"/>
      <c r="E12" s="31" t="str">
        <f>IF(OR(D21=0,D21=""),"",D12/D21)</f>
        <v/>
      </c>
      <c r="F12" s="26"/>
      <c r="G12" s="31" t="str">
        <f>IF(OR(F21=0,F21=""),"",F12/F21)</f>
        <v/>
      </c>
      <c r="H12" s="26"/>
      <c r="I12" s="31" t="str">
        <f>IF(OR(H21=0,H21=""),"",H12/H21)</f>
        <v/>
      </c>
      <c r="J12" s="26"/>
      <c r="K12" s="31" t="str">
        <f>IF(OR(J21=0,J21=""),"",J12/J21)</f>
        <v/>
      </c>
      <c r="L12" s="26"/>
      <c r="M12" s="31" t="str">
        <f>IF(OR(L21=0,L21=""),"",L12/L21)</f>
        <v/>
      </c>
    </row>
    <row r="13" spans="1:13" x14ac:dyDescent="0.2">
      <c r="A13" s="25" t="s">
        <v>276</v>
      </c>
      <c r="B13" s="26"/>
      <c r="C13" s="31" t="str">
        <f>IF(OR(B21=0,B21=""),"",B13/B21)</f>
        <v/>
      </c>
      <c r="D13" s="26"/>
      <c r="E13" s="31" t="str">
        <f>IF(OR(D21=0,D21=""),"",D13/D21)</f>
        <v/>
      </c>
      <c r="F13" s="26"/>
      <c r="G13" s="31" t="str">
        <f>IF(OR(F21=0,F21=""),"",F13/F21)</f>
        <v/>
      </c>
      <c r="H13" s="26"/>
      <c r="I13" s="31" t="str">
        <f>IF(OR(H21=0,H21=""),"",H13/H21)</f>
        <v/>
      </c>
      <c r="J13" s="26"/>
      <c r="K13" s="31" t="str">
        <f>IF(OR(J21=0,J21=""),"",J13/J21)</f>
        <v/>
      </c>
      <c r="L13" s="26"/>
      <c r="M13" s="31" t="str">
        <f>IF(OR(L21=0,L21=""),"",L13/L21)</f>
        <v/>
      </c>
    </row>
    <row r="14" spans="1:13" x14ac:dyDescent="0.2">
      <c r="A14" s="25" t="s">
        <v>277</v>
      </c>
      <c r="B14" s="26"/>
      <c r="C14" s="31" t="str">
        <f>IF(OR(B21=0,B21=""),"",B14/B21)</f>
        <v/>
      </c>
      <c r="D14" s="26"/>
      <c r="E14" s="31" t="str">
        <f>IF(OR(D21=0,D21=""),"",D14/D21)</f>
        <v/>
      </c>
      <c r="F14" s="26"/>
      <c r="G14" s="31" t="str">
        <f>IF(OR(F21=0,F21=""),"",F14/F21)</f>
        <v/>
      </c>
      <c r="H14" s="26"/>
      <c r="I14" s="31" t="str">
        <f>IF(OR(H21=0,H21=""),"",H14/H21)</f>
        <v/>
      </c>
      <c r="J14" s="26"/>
      <c r="K14" s="31" t="str">
        <f>IF(OR(J21=0,J21=""),"",J14/J21)</f>
        <v/>
      </c>
      <c r="L14" s="26"/>
      <c r="M14" s="31" t="str">
        <f>IF(OR(L21=0,L21=""),"",L14/L21)</f>
        <v/>
      </c>
    </row>
    <row r="15" spans="1:13" x14ac:dyDescent="0.2">
      <c r="A15" s="25" t="s">
        <v>278</v>
      </c>
      <c r="B15" s="26"/>
      <c r="C15" s="31" t="str">
        <f>IF(OR(B21=0,B21=""),"",B15/B21)</f>
        <v/>
      </c>
      <c r="D15" s="26"/>
      <c r="E15" s="31" t="str">
        <f>IF(OR(D21=0,D21=""),"",D15/D21)</f>
        <v/>
      </c>
      <c r="F15" s="26"/>
      <c r="G15" s="31" t="str">
        <f>IF(OR(F21=0,F21=""),"",F15/F21)</f>
        <v/>
      </c>
      <c r="H15" s="26"/>
      <c r="I15" s="31" t="str">
        <f>IF(OR(H21=0,H21=""),"",H15/H21)</f>
        <v/>
      </c>
      <c r="J15" s="26"/>
      <c r="K15" s="31" t="str">
        <f>IF(OR(J21=0,J21=""),"",J15/J21)</f>
        <v/>
      </c>
      <c r="L15" s="26"/>
      <c r="M15" s="31" t="str">
        <f>IF(OR(L21=0,L21=""),"",L15/L21)</f>
        <v/>
      </c>
    </row>
    <row r="16" spans="1:13" x14ac:dyDescent="0.2">
      <c r="A16" s="25" t="s">
        <v>279</v>
      </c>
      <c r="B16" s="26"/>
      <c r="C16" s="31" t="str">
        <f>IF(OR(B21=0,B21=""),"",B16/B21)</f>
        <v/>
      </c>
      <c r="D16" s="26"/>
      <c r="E16" s="31" t="str">
        <f>IF(OR(D21=0,D21=""),"",D16/D21)</f>
        <v/>
      </c>
      <c r="F16" s="26"/>
      <c r="G16" s="31" t="str">
        <f>IF(OR(F21=0,F21=""),"",F16/F21)</f>
        <v/>
      </c>
      <c r="H16" s="26"/>
      <c r="I16" s="31" t="str">
        <f>IF(OR(H21=0,H21=""),"",H16/H21)</f>
        <v/>
      </c>
      <c r="J16" s="26"/>
      <c r="K16" s="31" t="str">
        <f>IF(OR(J21=0,J21=""),"",J16/J21)</f>
        <v/>
      </c>
      <c r="L16" s="26"/>
      <c r="M16" s="31" t="str">
        <f>IF(OR(L21=0,L21=""),"",L16/L21)</f>
        <v/>
      </c>
    </row>
    <row r="17" spans="1:13" x14ac:dyDescent="0.2">
      <c r="A17" s="25" t="s">
        <v>280</v>
      </c>
      <c r="B17" s="26"/>
      <c r="C17" s="31" t="str">
        <f>IF(OR(B21=0,B21=""),"",B17/B21)</f>
        <v/>
      </c>
      <c r="D17" s="26"/>
      <c r="E17" s="31" t="str">
        <f>IF(OR(D21=0,D21=""),"",D17/D21)</f>
        <v/>
      </c>
      <c r="F17" s="26"/>
      <c r="G17" s="31" t="str">
        <f>IF(OR(F21=0,F21=""),"",F17/F21)</f>
        <v/>
      </c>
      <c r="H17" s="26"/>
      <c r="I17" s="31" t="str">
        <f>IF(OR(H21=0,H21=""),"",H17/H21)</f>
        <v/>
      </c>
      <c r="J17" s="26"/>
      <c r="K17" s="31" t="str">
        <f>IF(OR(J21=0,J21=""),"",J17/J21)</f>
        <v/>
      </c>
      <c r="L17" s="26"/>
      <c r="M17" s="31" t="str">
        <f>IF(OR(L21=0,L21=""),"",L17/L21)</f>
        <v/>
      </c>
    </row>
    <row r="18" spans="1:13" x14ac:dyDescent="0.2">
      <c r="A18" s="25" t="s">
        <v>281</v>
      </c>
      <c r="B18" s="26"/>
      <c r="C18" s="31" t="str">
        <f>IF(OR(B21=0,B21=""),"",B18/B21)</f>
        <v/>
      </c>
      <c r="D18" s="26"/>
      <c r="E18" s="31" t="str">
        <f>IF(OR(D21=0,D21=""),"",D18/D21)</f>
        <v/>
      </c>
      <c r="F18" s="26"/>
      <c r="G18" s="31" t="str">
        <f>IF(OR(F21=0,F21=""),"",F18/F21)</f>
        <v/>
      </c>
      <c r="H18" s="26"/>
      <c r="I18" s="31" t="str">
        <f>IF(OR(H21=0,H21=""),"",H18/H21)</f>
        <v/>
      </c>
      <c r="J18" s="26"/>
      <c r="K18" s="31" t="str">
        <f>IF(OR(J21=0,J21=""),"",J18/J21)</f>
        <v/>
      </c>
      <c r="L18" s="26"/>
      <c r="M18" s="31" t="str">
        <f>IF(OR(L21=0,L21=""),"",L18/L21)</f>
        <v/>
      </c>
    </row>
    <row r="19" spans="1:13" x14ac:dyDescent="0.2">
      <c r="A19" s="25" t="s">
        <v>222</v>
      </c>
      <c r="B19" s="26"/>
      <c r="C19" s="31" t="str">
        <f>IF(OR(B21=0,B21=""),"",B19/B21)</f>
        <v/>
      </c>
      <c r="D19" s="26"/>
      <c r="E19" s="31" t="str">
        <f>IF(OR(D21=0,D21=""),"",D19/D21)</f>
        <v/>
      </c>
      <c r="F19" s="26"/>
      <c r="G19" s="31" t="str">
        <f>IF(OR(F21=0,F21=""),"",F19/F21)</f>
        <v/>
      </c>
      <c r="H19" s="26"/>
      <c r="I19" s="31" t="str">
        <f>IF(OR(H21=0,H21=""),"",H19/H21)</f>
        <v/>
      </c>
      <c r="J19" s="26"/>
      <c r="K19" s="31" t="str">
        <f>IF(OR(J21=0,J21=""),"",J19/J21)</f>
        <v/>
      </c>
      <c r="L19" s="26"/>
      <c r="M19" s="31" t="str">
        <f>IF(OR(L21=0,L21=""),"",L19/L21)</f>
        <v/>
      </c>
    </row>
    <row r="20" spans="1:13" x14ac:dyDescent="0.2">
      <c r="A20" s="25" t="s">
        <v>146</v>
      </c>
      <c r="B20" s="26"/>
      <c r="C20" s="31" t="str">
        <f>IF(OR(B21=0,B21=""),"",B20/B21)</f>
        <v/>
      </c>
      <c r="D20" s="26"/>
      <c r="E20" s="31" t="str">
        <f>IF(OR(D21=0,D21=""),"",D20/D21)</f>
        <v/>
      </c>
      <c r="F20" s="26"/>
      <c r="G20" s="31" t="str">
        <f>IF(OR(F21=0,F21=""),"",F20/F21)</f>
        <v/>
      </c>
      <c r="H20" s="26"/>
      <c r="I20" s="31" t="str">
        <f>IF(OR(H21=0,H21=""),"",H20/H21)</f>
        <v/>
      </c>
      <c r="J20" s="26"/>
      <c r="K20" s="31" t="str">
        <f>IF(OR(J21=0,J21=""),"",J20/J21)</f>
        <v/>
      </c>
      <c r="L20" s="26"/>
      <c r="M20" s="31" t="str">
        <f>IF(OR(L21=0,L21=""),"",L20/L21)</f>
        <v/>
      </c>
    </row>
    <row r="21" spans="1:13" x14ac:dyDescent="0.2">
      <c r="A21" s="32" t="s">
        <v>282</v>
      </c>
      <c r="B21" s="33">
        <f>B8+B9+B10+B11+B12+B13+B14+B15+B16+B17+B18+B19-B20</f>
        <v>0</v>
      </c>
      <c r="C21" s="34" t="str">
        <f>IF(OR(B21=0,B21=""),"",B21/B21)</f>
        <v/>
      </c>
      <c r="D21" s="33">
        <f>D8+D9+D10+D11+D12+D13+D14+D15+D16+D17+D18+D19-D20</f>
        <v>0</v>
      </c>
      <c r="E21" s="34" t="str">
        <f>IF(OR(D21=0,D21=""),"",D21/D21)</f>
        <v/>
      </c>
      <c r="F21" s="33">
        <f>F8+F9+F10+F11+F12+F13+F14+F15+F16+F17+F18+F19-F20</f>
        <v>0</v>
      </c>
      <c r="G21" s="34" t="str">
        <f>IF(OR(F21=0,F21=""),"",F21/F21)</f>
        <v/>
      </c>
      <c r="H21" s="33">
        <f>H8+H9+H10+H11+H12+H13+H14+H15+H16+H17+H18+H19-H20</f>
        <v>0</v>
      </c>
      <c r="I21" s="34" t="str">
        <f>IF(OR(H21=0,H21=""),"",H21/H21)</f>
        <v/>
      </c>
      <c r="J21" s="33">
        <f>J8+J9+J10+J11+J12+J13+J14+J15+J16+J17+J18+J19-J20</f>
        <v>0</v>
      </c>
      <c r="K21" s="34" t="str">
        <f>IF(OR(J21=0,J21=""),"",J21/J21)</f>
        <v/>
      </c>
      <c r="L21" s="33">
        <f>L8+L9+L10+L11+L12+L13+L14+L15+L16+L17+L18+L19-L20</f>
        <v>0</v>
      </c>
      <c r="M21" s="34" t="str">
        <f>IF(OR(L21=0,L21=""),"",L21/L21)</f>
        <v/>
      </c>
    </row>
    <row r="22" spans="1:13" x14ac:dyDescent="0.2">
      <c r="A22" s="23" t="s">
        <v>283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2">
      <c r="A23" s="25" t="s">
        <v>284</v>
      </c>
      <c r="B23" s="26"/>
      <c r="C23" s="31" t="str">
        <f>IF(OR(B21=0,B21=""),"",B23/B21)</f>
        <v/>
      </c>
      <c r="D23" s="26"/>
      <c r="E23" s="31" t="str">
        <f>IF(OR(D21=0,D21=""),"",D23/D21)</f>
        <v/>
      </c>
      <c r="F23" s="26"/>
      <c r="G23" s="31" t="str">
        <f>IF(OR(F21=0,F21=""),"",F23/F21)</f>
        <v/>
      </c>
      <c r="H23" s="26"/>
      <c r="I23" s="31" t="str">
        <f>IF(OR(H21=0,H21=""),"",H23/H21)</f>
        <v/>
      </c>
      <c r="J23" s="26"/>
      <c r="K23" s="31" t="str">
        <f>IF(OR(J21=0,J21=""),"",J23/J21)</f>
        <v/>
      </c>
      <c r="L23" s="26"/>
      <c r="M23" s="31" t="str">
        <f>IF(OR(L21=0,L21=""),"",L23/L21)</f>
        <v/>
      </c>
    </row>
    <row r="24" spans="1:13" x14ac:dyDescent="0.2">
      <c r="A24" s="25" t="s">
        <v>285</v>
      </c>
      <c r="B24" s="26"/>
      <c r="C24" s="31" t="str">
        <f>IF(OR(B21=0,B21=""),"",B24/B21)</f>
        <v/>
      </c>
      <c r="D24" s="26"/>
      <c r="E24" s="31" t="str">
        <f>IF(OR(D21=0,D21=""),"",D24/D21)</f>
        <v/>
      </c>
      <c r="F24" s="26"/>
      <c r="G24" s="31" t="str">
        <f>IF(OR(F21=0,F21=""),"",F24/F21)</f>
        <v/>
      </c>
      <c r="H24" s="26"/>
      <c r="I24" s="31" t="str">
        <f>IF(OR(H21=0,H21=""),"",H24/H21)</f>
        <v/>
      </c>
      <c r="J24" s="26"/>
      <c r="K24" s="31" t="str">
        <f>IF(OR(J21=0,J21=""),"",J24/J21)</f>
        <v/>
      </c>
      <c r="L24" s="26"/>
      <c r="M24" s="31" t="str">
        <f>IF(OR(L21=0,L21=""),"",L24/L21)</f>
        <v/>
      </c>
    </row>
    <row r="25" spans="1:13" x14ac:dyDescent="0.2">
      <c r="A25" s="35" t="s">
        <v>286</v>
      </c>
      <c r="B25" s="36">
        <f>B23+B24</f>
        <v>0</v>
      </c>
      <c r="C25" s="37" t="str">
        <f>IF(OR(B21=0,B21=""),"",B25/B21)</f>
        <v/>
      </c>
      <c r="D25" s="36">
        <f>D23+D24</f>
        <v>0</v>
      </c>
      <c r="E25" s="37" t="str">
        <f>IF(OR(D21=0,D21=""),"",D25/D21)</f>
        <v/>
      </c>
      <c r="F25" s="36">
        <f>F23+F24</f>
        <v>0</v>
      </c>
      <c r="G25" s="37" t="str">
        <f>IF(OR(F21=0,F21=""),"",F25/F21)</f>
        <v/>
      </c>
      <c r="H25" s="36">
        <f>H23+H24</f>
        <v>0</v>
      </c>
      <c r="I25" s="37" t="str">
        <f>IF(OR(H21=0,H21=""),"",H25/H21)</f>
        <v/>
      </c>
      <c r="J25" s="36">
        <f>J23+J24</f>
        <v>0</v>
      </c>
      <c r="K25" s="37" t="str">
        <f>IF(OR(J21=0,J21=""),"",J25/J21)</f>
        <v/>
      </c>
      <c r="L25" s="36">
        <f>L23+L24</f>
        <v>0</v>
      </c>
      <c r="M25" s="37" t="str">
        <f>IF(OR(L21=0,L21=""),"",L25/L21)</f>
        <v/>
      </c>
    </row>
    <row r="26" spans="1:13" x14ac:dyDescent="0.2">
      <c r="A26" s="35" t="s">
        <v>241</v>
      </c>
      <c r="B26" s="36">
        <f>B21-B25</f>
        <v>0</v>
      </c>
      <c r="C26" s="37" t="str">
        <f>IF(OR(B21=0,B21=""),"",B26/B21)</f>
        <v/>
      </c>
      <c r="D26" s="36">
        <f>D21-D25</f>
        <v>0</v>
      </c>
      <c r="E26" s="37" t="str">
        <f>IF(OR(D21=0,D21=""),"",D26/D21)</f>
        <v/>
      </c>
      <c r="F26" s="36">
        <f>F21-F25</f>
        <v>0</v>
      </c>
      <c r="G26" s="37" t="str">
        <f>IF(OR(F21=0,F21=""),"",F26/F21)</f>
        <v/>
      </c>
      <c r="H26" s="36">
        <f>H21-H25</f>
        <v>0</v>
      </c>
      <c r="I26" s="37" t="str">
        <f>IF(OR(H21=0,H21=""),"",H26/H21)</f>
        <v/>
      </c>
      <c r="J26" s="36">
        <f>J21-J25</f>
        <v>0</v>
      </c>
      <c r="K26" s="37" t="str">
        <f>IF(OR(J21=0,J21=""),"",J26/J21)</f>
        <v/>
      </c>
      <c r="L26" s="36">
        <f>L21-L25</f>
        <v>0</v>
      </c>
      <c r="M26" s="37" t="str">
        <f>IF(OR(L21=0,L21=""),"",L26/L21)</f>
        <v/>
      </c>
    </row>
    <row r="27" spans="1:13" x14ac:dyDescent="0.2">
      <c r="A27" s="23" t="s">
        <v>148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2">
      <c r="A28" s="23" t="s">
        <v>149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x14ac:dyDescent="0.2">
      <c r="A29" s="23" t="s">
        <v>150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 x14ac:dyDescent="0.2">
      <c r="A30" s="23" t="s">
        <v>151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3" x14ac:dyDescent="0.2">
      <c r="A31" s="25" t="s">
        <v>152</v>
      </c>
      <c r="B31" s="26"/>
      <c r="D31" s="26"/>
      <c r="F31" s="26"/>
      <c r="H31" s="26"/>
      <c r="J31" s="26"/>
      <c r="L31" s="26"/>
    </row>
    <row r="32" spans="1:13" x14ac:dyDescent="0.2">
      <c r="A32" s="23" t="s">
        <v>153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x14ac:dyDescent="0.2">
      <c r="A33" s="25" t="s">
        <v>287</v>
      </c>
      <c r="B33" s="26"/>
      <c r="D33" s="26"/>
      <c r="F33" s="26"/>
      <c r="H33" s="26"/>
      <c r="J33" s="26"/>
      <c r="L33" s="26"/>
    </row>
    <row r="34" spans="1:13" x14ac:dyDescent="0.2">
      <c r="A34" s="25" t="s">
        <v>288</v>
      </c>
      <c r="B34" s="26"/>
      <c r="D34" s="26"/>
      <c r="F34" s="26"/>
      <c r="H34" s="26"/>
      <c r="J34" s="26"/>
      <c r="L34" s="26"/>
    </row>
    <row r="35" spans="1:13" x14ac:dyDescent="0.2">
      <c r="A35" s="25" t="s">
        <v>289</v>
      </c>
      <c r="B35" s="26"/>
      <c r="D35" s="26"/>
      <c r="F35" s="26"/>
      <c r="H35" s="26"/>
      <c r="J35" s="26"/>
      <c r="L35" s="26"/>
    </row>
    <row r="36" spans="1:13" x14ac:dyDescent="0.2">
      <c r="A36" s="35" t="s">
        <v>160</v>
      </c>
      <c r="B36" s="36">
        <f>B31+B33+B34+B35</f>
        <v>0</v>
      </c>
      <c r="C36" s="41"/>
      <c r="D36" s="36">
        <f>D31+D33+D34+D35</f>
        <v>0</v>
      </c>
      <c r="E36" s="41"/>
      <c r="F36" s="36">
        <f>F31+F33+F34+F35</f>
        <v>0</v>
      </c>
      <c r="G36" s="41"/>
      <c r="H36" s="36">
        <f>H31+H33+H34+H35</f>
        <v>0</v>
      </c>
      <c r="I36" s="41"/>
      <c r="J36" s="36">
        <f>J31+J33+J34+J35</f>
        <v>0</v>
      </c>
      <c r="K36" s="41"/>
      <c r="L36" s="36">
        <f>L31+L33+L34+L35</f>
        <v>0</v>
      </c>
      <c r="M36" s="41"/>
    </row>
    <row r="37" spans="1:13" x14ac:dyDescent="0.2">
      <c r="A37" s="25" t="s">
        <v>161</v>
      </c>
      <c r="B37" s="26"/>
      <c r="D37" s="26"/>
      <c r="F37" s="26"/>
      <c r="H37" s="26"/>
      <c r="J37" s="26"/>
      <c r="L37" s="26"/>
    </row>
    <row r="38" spans="1:13" x14ac:dyDescent="0.2">
      <c r="A38" s="25" t="s">
        <v>162</v>
      </c>
      <c r="B38" s="26"/>
      <c r="D38" s="26"/>
      <c r="F38" s="26"/>
      <c r="H38" s="26"/>
      <c r="J38" s="26"/>
      <c r="L38" s="26"/>
    </row>
    <row r="39" spans="1:13" x14ac:dyDescent="0.2">
      <c r="A39" s="25" t="s">
        <v>163</v>
      </c>
      <c r="B39" s="26"/>
      <c r="D39" s="26"/>
      <c r="F39" s="26"/>
      <c r="H39" s="26"/>
      <c r="J39" s="26"/>
      <c r="L39" s="26"/>
    </row>
    <row r="40" spans="1:13" x14ac:dyDescent="0.2">
      <c r="A40" s="35" t="s">
        <v>164</v>
      </c>
      <c r="B40" s="36">
        <f>B36+B37+B38+B39</f>
        <v>0</v>
      </c>
      <c r="C40" s="37" t="str">
        <f>IF(OR(B21=0,B21=""),"",B40/B21)</f>
        <v/>
      </c>
      <c r="D40" s="36">
        <f>D36+D37+D38+D39</f>
        <v>0</v>
      </c>
      <c r="E40" s="37" t="str">
        <f>IF(OR(D21=0,D21=""),"",D40/D21)</f>
        <v/>
      </c>
      <c r="F40" s="36">
        <f>F36+F37+F38+F39</f>
        <v>0</v>
      </c>
      <c r="G40" s="37" t="str">
        <f>IF(OR(F21=0,F21=""),"",F40/F21)</f>
        <v/>
      </c>
      <c r="H40" s="36">
        <f>H36+H37+H38+H39</f>
        <v>0</v>
      </c>
      <c r="I40" s="37" t="str">
        <f>IF(OR(H21=0,H21=""),"",H40/H21)</f>
        <v/>
      </c>
      <c r="J40" s="36">
        <f>J36+J37+J38+J39</f>
        <v>0</v>
      </c>
      <c r="K40" s="37" t="str">
        <f>IF(OR(J21=0,J21=""),"",J40/J21)</f>
        <v/>
      </c>
      <c r="L40" s="36">
        <f>L36+L37+L38+L39</f>
        <v>0</v>
      </c>
      <c r="M40" s="37" t="str">
        <f>IF(OR(L21=0,L21=""),"",L40/L21)</f>
        <v/>
      </c>
    </row>
    <row r="41" spans="1:13" x14ac:dyDescent="0.2">
      <c r="A41" s="23" t="s">
        <v>165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spans="1:13" x14ac:dyDescent="0.2">
      <c r="A42" s="25" t="s">
        <v>166</v>
      </c>
      <c r="B42" s="26"/>
      <c r="C42" s="31" t="str">
        <f>IF(OR(B21=0,B21=""),"",B42/B21)</f>
        <v/>
      </c>
      <c r="D42" s="26"/>
      <c r="E42" s="31" t="str">
        <f>IF(OR(D21=0,D21=""),"",D42/D21)</f>
        <v/>
      </c>
      <c r="F42" s="26"/>
      <c r="G42" s="31" t="str">
        <f>IF(OR(F21=0,F21=""),"",F42/F21)</f>
        <v/>
      </c>
      <c r="H42" s="26"/>
      <c r="I42" s="31" t="str">
        <f>IF(OR(H21=0,H21=""),"",H42/H21)</f>
        <v/>
      </c>
      <c r="J42" s="26"/>
      <c r="K42" s="31" t="str">
        <f>IF(OR(J21=0,J21=""),"",J42/J21)</f>
        <v/>
      </c>
      <c r="L42" s="26"/>
      <c r="M42" s="31" t="str">
        <f>IF(OR(L21=0,L21=""),"",L42/L21)</f>
        <v/>
      </c>
    </row>
    <row r="43" spans="1:13" x14ac:dyDescent="0.2">
      <c r="A43" s="25" t="s">
        <v>167</v>
      </c>
      <c r="B43" s="26"/>
      <c r="C43" s="31" t="str">
        <f>IF(OR(B21=0,B21=""),"",B43/B21)</f>
        <v/>
      </c>
      <c r="D43" s="26"/>
      <c r="E43" s="31" t="str">
        <f>IF(OR(D21=0,D21=""),"",D43/D21)</f>
        <v/>
      </c>
      <c r="F43" s="26"/>
      <c r="G43" s="31" t="str">
        <f>IF(OR(F21=0,F21=""),"",F43/F21)</f>
        <v/>
      </c>
      <c r="H43" s="26"/>
      <c r="I43" s="31" t="str">
        <f>IF(OR(H21=0,H21=""),"",H43/H21)</f>
        <v/>
      </c>
      <c r="J43" s="26"/>
      <c r="K43" s="31" t="str">
        <f>IF(OR(J21=0,J21=""),"",J43/J21)</f>
        <v/>
      </c>
      <c r="L43" s="26"/>
      <c r="M43" s="31" t="str">
        <f>IF(OR(L21=0,L21=""),"",L43/L21)</f>
        <v/>
      </c>
    </row>
    <row r="44" spans="1:13" x14ac:dyDescent="0.2">
      <c r="A44" s="25" t="s">
        <v>168</v>
      </c>
      <c r="B44" s="26"/>
      <c r="C44" s="31" t="str">
        <f>IF(OR(B21=0,B21=""),"",B44/B21)</f>
        <v/>
      </c>
      <c r="D44" s="26"/>
      <c r="E44" s="31" t="str">
        <f>IF(OR(D21=0,D21=""),"",D44/D21)</f>
        <v/>
      </c>
      <c r="F44" s="26"/>
      <c r="G44" s="31" t="str">
        <f>IF(OR(F21=0,F21=""),"",F44/F21)</f>
        <v/>
      </c>
      <c r="H44" s="26"/>
      <c r="I44" s="31" t="str">
        <f>IF(OR(H21=0,H21=""),"",H44/H21)</f>
        <v/>
      </c>
      <c r="J44" s="26"/>
      <c r="K44" s="31" t="str">
        <f>IF(OR(J21=0,J21=""),"",J44/J21)</f>
        <v/>
      </c>
      <c r="L44" s="26"/>
      <c r="M44" s="31" t="str">
        <f>IF(OR(L21=0,L21=""),"",L44/L21)</f>
        <v/>
      </c>
    </row>
    <row r="45" spans="1:13" x14ac:dyDescent="0.2">
      <c r="A45" s="35" t="s">
        <v>169</v>
      </c>
      <c r="B45" s="36">
        <f>B42+B43+B44</f>
        <v>0</v>
      </c>
      <c r="C45" s="37" t="str">
        <f>IF(OR(B21=0,B21=""),"",B45/B21)</f>
        <v/>
      </c>
      <c r="D45" s="36">
        <f>D42+D43+D44</f>
        <v>0</v>
      </c>
      <c r="E45" s="37" t="str">
        <f>IF(OR(D21=0,D21=""),"",D45/D21)</f>
        <v/>
      </c>
      <c r="F45" s="36">
        <f>F42+F43+F44</f>
        <v>0</v>
      </c>
      <c r="G45" s="37" t="str">
        <f>IF(OR(F21=0,F21=""),"",F45/F21)</f>
        <v/>
      </c>
      <c r="H45" s="36">
        <f>H42+H43+H44</f>
        <v>0</v>
      </c>
      <c r="I45" s="37" t="str">
        <f>IF(OR(H21=0,H21=""),"",H45/H21)</f>
        <v/>
      </c>
      <c r="J45" s="36">
        <f>J42+J43+J44</f>
        <v>0</v>
      </c>
      <c r="K45" s="37" t="str">
        <f>IF(OR(J21=0,J21=""),"",J45/J21)</f>
        <v/>
      </c>
      <c r="L45" s="36">
        <f>L42+L43+L44</f>
        <v>0</v>
      </c>
      <c r="M45" s="37" t="str">
        <f>IF(OR(L21=0,L21=""),"",L45/L21)</f>
        <v/>
      </c>
    </row>
    <row r="46" spans="1:13" x14ac:dyDescent="0.2">
      <c r="A46" s="35" t="s">
        <v>170</v>
      </c>
      <c r="B46" s="36">
        <f>B40+B45</f>
        <v>0</v>
      </c>
      <c r="C46" s="37" t="str">
        <f>IF(OR(B21=0,B21=""),"",B46/B21)</f>
        <v/>
      </c>
      <c r="D46" s="36">
        <f>D40+D45</f>
        <v>0</v>
      </c>
      <c r="E46" s="37" t="str">
        <f>IF(OR(D21=0,D21=""),"",D46/D21)</f>
        <v/>
      </c>
      <c r="F46" s="36">
        <f>F40+F45</f>
        <v>0</v>
      </c>
      <c r="G46" s="37" t="str">
        <f>IF(OR(F21=0,F21=""),"",F46/F21)</f>
        <v/>
      </c>
      <c r="H46" s="36">
        <f>H40+H45</f>
        <v>0</v>
      </c>
      <c r="I46" s="37" t="str">
        <f>IF(OR(H21=0,H21=""),"",H46/H21)</f>
        <v/>
      </c>
      <c r="J46" s="36">
        <f>J40+J45</f>
        <v>0</v>
      </c>
      <c r="K46" s="37" t="str">
        <f>IF(OR(J21=0,J21=""),"",J46/J21)</f>
        <v/>
      </c>
      <c r="L46" s="36">
        <f>L40+L45</f>
        <v>0</v>
      </c>
      <c r="M46" s="37" t="str">
        <f>IF(OR(L21=0,L21=""),"",L46/L21)</f>
        <v/>
      </c>
    </row>
    <row r="47" spans="1:13" x14ac:dyDescent="0.2">
      <c r="A47" s="23" t="s">
        <v>171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13" x14ac:dyDescent="0.2">
      <c r="A48" s="25" t="s">
        <v>172</v>
      </c>
      <c r="B48" s="26"/>
      <c r="C48" s="31" t="str">
        <f>IF(OR(B21=0,B21=""),"",B48/B21)</f>
        <v/>
      </c>
      <c r="D48" s="26"/>
      <c r="E48" s="31" t="str">
        <f>IF(OR(D21=0,D21=""),"",D48/D21)</f>
        <v/>
      </c>
      <c r="F48" s="26"/>
      <c r="G48" s="31" t="str">
        <f>IF(OR(F21=0,F21=""),"",F48/F21)</f>
        <v/>
      </c>
      <c r="H48" s="26"/>
      <c r="I48" s="31" t="str">
        <f>IF(OR(H21=0,H21=""),"",H48/H21)</f>
        <v/>
      </c>
      <c r="J48" s="26"/>
      <c r="K48" s="31" t="str">
        <f>IF(OR(J21=0,J21=""),"",J48/J21)</f>
        <v/>
      </c>
      <c r="L48" s="26"/>
      <c r="M48" s="31" t="str">
        <f>IF(OR(L21=0,L21=""),"",L48/L21)</f>
        <v/>
      </c>
    </row>
    <row r="49" spans="1:13" x14ac:dyDescent="0.2">
      <c r="A49" s="25" t="s">
        <v>173</v>
      </c>
      <c r="B49" s="26"/>
      <c r="C49" s="31" t="str">
        <f>IF(OR(B21=0,B21=""),"",B49/B21)</f>
        <v/>
      </c>
      <c r="D49" s="26"/>
      <c r="E49" s="31" t="str">
        <f>IF(OR(D21=0,D21=""),"",D49/D21)</f>
        <v/>
      </c>
      <c r="F49" s="26"/>
      <c r="G49" s="31" t="str">
        <f>IF(OR(F21=0,F21=""),"",F49/F21)</f>
        <v/>
      </c>
      <c r="H49" s="26"/>
      <c r="I49" s="31" t="str">
        <f>IF(OR(H21=0,H21=""),"",H49/H21)</f>
        <v/>
      </c>
      <c r="J49" s="26"/>
      <c r="K49" s="31" t="str">
        <f>IF(OR(J21=0,J21=""),"",J49/J21)</f>
        <v/>
      </c>
      <c r="L49" s="26"/>
      <c r="M49" s="31" t="str">
        <f>IF(OR(L21=0,L21=""),"",L49/L21)</f>
        <v/>
      </c>
    </row>
    <row r="50" spans="1:13" x14ac:dyDescent="0.2">
      <c r="A50" s="25" t="s">
        <v>178</v>
      </c>
      <c r="B50" s="26"/>
      <c r="C50" s="31" t="str">
        <f>IF(OR(B21=0,B21=""),"",B50/B21)</f>
        <v/>
      </c>
      <c r="D50" s="26"/>
      <c r="E50" s="31" t="str">
        <f>IF(OR(D21=0,D21=""),"",D50/D21)</f>
        <v/>
      </c>
      <c r="F50" s="26"/>
      <c r="G50" s="31" t="str">
        <f>IF(OR(F21=0,F21=""),"",F50/F21)</f>
        <v/>
      </c>
      <c r="H50" s="26"/>
      <c r="I50" s="31" t="str">
        <f>IF(OR(H21=0,H21=""),"",H50/H21)</f>
        <v/>
      </c>
      <c r="J50" s="26"/>
      <c r="K50" s="31" t="str">
        <f>IF(OR(J21=0,J21=""),"",J50/J21)</f>
        <v/>
      </c>
      <c r="L50" s="26"/>
      <c r="M50" s="31" t="str">
        <f>IF(OR(L21=0,L21=""),"",L50/L21)</f>
        <v/>
      </c>
    </row>
    <row r="51" spans="1:13" x14ac:dyDescent="0.2">
      <c r="A51" s="25" t="s">
        <v>179</v>
      </c>
      <c r="B51" s="26"/>
      <c r="C51" s="31" t="str">
        <f>IF(OR(B21=0,B21=""),"",B51/B21)</f>
        <v/>
      </c>
      <c r="D51" s="26"/>
      <c r="E51" s="31" t="str">
        <f>IF(OR(D21=0,D21=""),"",D51/D21)</f>
        <v/>
      </c>
      <c r="F51" s="26"/>
      <c r="G51" s="31" t="str">
        <f>IF(OR(F21=0,F21=""),"",F51/F21)</f>
        <v/>
      </c>
      <c r="H51" s="26"/>
      <c r="I51" s="31" t="str">
        <f>IF(OR(H21=0,H21=""),"",H51/H21)</f>
        <v/>
      </c>
      <c r="J51" s="26"/>
      <c r="K51" s="31" t="str">
        <f>IF(OR(J21=0,J21=""),"",J51/J21)</f>
        <v/>
      </c>
      <c r="L51" s="26"/>
      <c r="M51" s="31" t="str">
        <f>IF(OR(L21=0,L21=""),"",L51/L21)</f>
        <v/>
      </c>
    </row>
    <row r="52" spans="1:13" x14ac:dyDescent="0.2">
      <c r="A52" s="25" t="s">
        <v>180</v>
      </c>
      <c r="B52" s="26"/>
      <c r="C52" s="31" t="str">
        <f>IF(OR(B21=0,B21=""),"",B52/B21)</f>
        <v/>
      </c>
      <c r="D52" s="26"/>
      <c r="E52" s="31" t="str">
        <f>IF(OR(D21=0,D21=""),"",D52/D21)</f>
        <v/>
      </c>
      <c r="F52" s="26"/>
      <c r="G52" s="31" t="str">
        <f>IF(OR(F21=0,F21=""),"",F52/F21)</f>
        <v/>
      </c>
      <c r="H52" s="26"/>
      <c r="I52" s="31" t="str">
        <f>IF(OR(H21=0,H21=""),"",H52/H21)</f>
        <v/>
      </c>
      <c r="J52" s="26"/>
      <c r="K52" s="31" t="str">
        <f>IF(OR(J21=0,J21=""),"",J52/J21)</f>
        <v/>
      </c>
      <c r="L52" s="26"/>
      <c r="M52" s="31" t="str">
        <f>IF(OR(L21=0,L21=""),"",L52/L21)</f>
        <v/>
      </c>
    </row>
    <row r="53" spans="1:13" x14ac:dyDescent="0.2">
      <c r="A53" s="25" t="s">
        <v>181</v>
      </c>
      <c r="B53" s="26"/>
      <c r="C53" s="31" t="str">
        <f>IF(OR(B21=0,B21=""),"",B53/B21)</f>
        <v/>
      </c>
      <c r="D53" s="26"/>
      <c r="E53" s="31" t="str">
        <f>IF(OR(D21=0,D21=""),"",D53/D21)</f>
        <v/>
      </c>
      <c r="F53" s="26"/>
      <c r="G53" s="31" t="str">
        <f>IF(OR(F21=0,F21=""),"",F53/F21)</f>
        <v/>
      </c>
      <c r="H53" s="26"/>
      <c r="I53" s="31" t="str">
        <f>IF(OR(H21=0,H21=""),"",H53/H21)</f>
        <v/>
      </c>
      <c r="J53" s="26"/>
      <c r="K53" s="31" t="str">
        <f>IF(OR(J21=0,J21=""),"",J53/J21)</f>
        <v/>
      </c>
      <c r="L53" s="26"/>
      <c r="M53" s="31" t="str">
        <f>IF(OR(L21=0,L21=""),"",L53/L21)</f>
        <v/>
      </c>
    </row>
    <row r="54" spans="1:13" x14ac:dyDescent="0.2">
      <c r="A54" s="25" t="s">
        <v>182</v>
      </c>
      <c r="B54" s="26"/>
      <c r="C54" s="31" t="str">
        <f>IF(OR(B21=0,B21=""),"",B54/B21)</f>
        <v/>
      </c>
      <c r="D54" s="26"/>
      <c r="E54" s="31" t="str">
        <f>IF(OR(D21=0,D21=""),"",D54/D21)</f>
        <v/>
      </c>
      <c r="F54" s="26"/>
      <c r="G54" s="31" t="str">
        <f>IF(OR(F21=0,F21=""),"",F54/F21)</f>
        <v/>
      </c>
      <c r="H54" s="26"/>
      <c r="I54" s="31" t="str">
        <f>IF(OR(H21=0,H21=""),"",H54/H21)</f>
        <v/>
      </c>
      <c r="J54" s="26"/>
      <c r="K54" s="31" t="str">
        <f>IF(OR(J21=0,J21=""),"",J54/J21)</f>
        <v/>
      </c>
      <c r="L54" s="26"/>
      <c r="M54" s="31" t="str">
        <f>IF(OR(L21=0,L21=""),"",L54/L21)</f>
        <v/>
      </c>
    </row>
    <row r="55" spans="1:13" x14ac:dyDescent="0.2">
      <c r="A55" s="25" t="s">
        <v>183</v>
      </c>
      <c r="B55" s="26"/>
      <c r="C55" s="31" t="str">
        <f>IF(OR(B21=0,B21=""),"",B55/B21)</f>
        <v/>
      </c>
      <c r="D55" s="26"/>
      <c r="E55" s="31" t="str">
        <f>IF(OR(D21=0,D21=""),"",D55/D21)</f>
        <v/>
      </c>
      <c r="F55" s="26"/>
      <c r="G55" s="31" t="str">
        <f>IF(OR(F21=0,F21=""),"",F55/F21)</f>
        <v/>
      </c>
      <c r="H55" s="26"/>
      <c r="I55" s="31" t="str">
        <f>IF(OR(H21=0,H21=""),"",H55/H21)</f>
        <v/>
      </c>
      <c r="J55" s="26"/>
      <c r="K55" s="31" t="str">
        <f>IF(OR(J21=0,J21=""),"",J55/J21)</f>
        <v/>
      </c>
      <c r="L55" s="26"/>
      <c r="M55" s="31" t="str">
        <f>IF(OR(L21=0,L21=""),"",L55/L21)</f>
        <v/>
      </c>
    </row>
    <row r="56" spans="1:13" x14ac:dyDescent="0.2">
      <c r="A56" s="25" t="s">
        <v>184</v>
      </c>
      <c r="B56" s="26"/>
      <c r="C56" s="31" t="str">
        <f>IF(OR(B21=0,B21=""),"",B56/B21)</f>
        <v/>
      </c>
      <c r="D56" s="26"/>
      <c r="E56" s="31" t="str">
        <f>IF(OR(D21=0,D21=""),"",D56/D21)</f>
        <v/>
      </c>
      <c r="F56" s="26"/>
      <c r="G56" s="31" t="str">
        <f>IF(OR(F21=0,F21=""),"",F56/F21)</f>
        <v/>
      </c>
      <c r="H56" s="26"/>
      <c r="I56" s="31" t="str">
        <f>IF(OR(H21=0,H21=""),"",H56/H21)</f>
        <v/>
      </c>
      <c r="J56" s="26"/>
      <c r="K56" s="31" t="str">
        <f>IF(OR(J21=0,J21=""),"",J56/J21)</f>
        <v/>
      </c>
      <c r="L56" s="26"/>
      <c r="M56" s="31" t="str">
        <f>IF(OR(L21=0,L21=""),"",L56/L21)</f>
        <v/>
      </c>
    </row>
    <row r="57" spans="1:13" x14ac:dyDescent="0.2">
      <c r="A57" s="25" t="s">
        <v>290</v>
      </c>
      <c r="B57" s="26"/>
      <c r="C57" s="31" t="str">
        <f>IF(OR(B21=0,B21=""),"",B57/B21)</f>
        <v/>
      </c>
      <c r="D57" s="26"/>
      <c r="E57" s="31" t="str">
        <f>IF(OR(D21=0,D21=""),"",D57/D21)</f>
        <v/>
      </c>
      <c r="F57" s="26"/>
      <c r="G57" s="31" t="str">
        <f>IF(OR(F21=0,F21=""),"",F57/F21)</f>
        <v/>
      </c>
      <c r="H57" s="26"/>
      <c r="I57" s="31" t="str">
        <f>IF(OR(H21=0,H21=""),"",H57/H21)</f>
        <v/>
      </c>
      <c r="J57" s="26"/>
      <c r="K57" s="31" t="str">
        <f>IF(OR(J21=0,J21=""),"",J57/J21)</f>
        <v/>
      </c>
      <c r="L57" s="26"/>
      <c r="M57" s="31" t="str">
        <f>IF(OR(L21=0,L21=""),"",L57/L21)</f>
        <v/>
      </c>
    </row>
    <row r="58" spans="1:13" x14ac:dyDescent="0.2">
      <c r="A58" s="25" t="s">
        <v>291</v>
      </c>
      <c r="B58" s="26"/>
      <c r="C58" s="31" t="str">
        <f>IF(OR(B21=0,B21=""),"",B58/B21)</f>
        <v/>
      </c>
      <c r="D58" s="26"/>
      <c r="E58" s="31" t="str">
        <f>IF(OR(D21=0,D21=""),"",D58/D21)</f>
        <v/>
      </c>
      <c r="F58" s="26"/>
      <c r="G58" s="31" t="str">
        <f>IF(OR(F21=0,F21=""),"",F58/F21)</f>
        <v/>
      </c>
      <c r="H58" s="26"/>
      <c r="I58" s="31" t="str">
        <f>IF(OR(H21=0,H21=""),"",H58/H21)</f>
        <v/>
      </c>
      <c r="J58" s="26"/>
      <c r="K58" s="31" t="str">
        <f>IF(OR(J21=0,J21=""),"",J58/J21)</f>
        <v/>
      </c>
      <c r="L58" s="26"/>
      <c r="M58" s="31" t="str">
        <f>IF(OR(L21=0,L21=""),"",L58/L21)</f>
        <v/>
      </c>
    </row>
    <row r="59" spans="1:13" x14ac:dyDescent="0.2">
      <c r="A59" s="25" t="s">
        <v>292</v>
      </c>
      <c r="B59" s="26"/>
      <c r="C59" s="31" t="str">
        <f>IF(OR(B21=0,B21=""),"",B59/B21)</f>
        <v/>
      </c>
      <c r="D59" s="26"/>
      <c r="E59" s="31" t="str">
        <f>IF(OR(D21=0,D21=""),"",D59/D21)</f>
        <v/>
      </c>
      <c r="F59" s="26"/>
      <c r="G59" s="31" t="str">
        <f>IF(OR(F21=0,F21=""),"",F59/F21)</f>
        <v/>
      </c>
      <c r="H59" s="26"/>
      <c r="I59" s="31" t="str">
        <f>IF(OR(H21=0,H21=""),"",H59/H21)</f>
        <v/>
      </c>
      <c r="J59" s="26"/>
      <c r="K59" s="31" t="str">
        <f>IF(OR(J21=0,J21=""),"",J59/J21)</f>
        <v/>
      </c>
      <c r="L59" s="26"/>
      <c r="M59" s="31" t="str">
        <f>IF(OR(L21=0,L21=""),"",L59/L21)</f>
        <v/>
      </c>
    </row>
    <row r="60" spans="1:13" x14ac:dyDescent="0.2">
      <c r="A60" s="25" t="s">
        <v>188</v>
      </c>
      <c r="B60" s="26"/>
      <c r="C60" s="31" t="str">
        <f>IF(OR(B21=0,B21=""),"",B60/B21)</f>
        <v/>
      </c>
      <c r="D60" s="26"/>
      <c r="E60" s="31" t="str">
        <f>IF(OR(D21=0,D21=""),"",D60/D21)</f>
        <v/>
      </c>
      <c r="F60" s="26"/>
      <c r="G60" s="31" t="str">
        <f>IF(OR(F21=0,F21=""),"",F60/F21)</f>
        <v/>
      </c>
      <c r="H60" s="26"/>
      <c r="I60" s="31" t="str">
        <f>IF(OR(H21=0,H21=""),"",H60/H21)</f>
        <v/>
      </c>
      <c r="J60" s="26"/>
      <c r="K60" s="31" t="str">
        <f>IF(OR(J21=0,J21=""),"",J60/J21)</f>
        <v/>
      </c>
      <c r="L60" s="26"/>
      <c r="M60" s="31" t="str">
        <f>IF(OR(L21=0,L21=""),"",L60/L21)</f>
        <v/>
      </c>
    </row>
    <row r="61" spans="1:13" x14ac:dyDescent="0.2">
      <c r="A61" s="25" t="s">
        <v>189</v>
      </c>
      <c r="B61" s="26"/>
      <c r="C61" s="31" t="str">
        <f>IF(OR(B21=0,B21=""),"",B61/B21)</f>
        <v/>
      </c>
      <c r="D61" s="26"/>
      <c r="E61" s="31" t="str">
        <f>IF(OR(D21=0,D21=""),"",D61/D21)</f>
        <v/>
      </c>
      <c r="F61" s="26"/>
      <c r="G61" s="31" t="str">
        <f>IF(OR(F21=0,F21=""),"",F61/F21)</f>
        <v/>
      </c>
      <c r="H61" s="26"/>
      <c r="I61" s="31" t="str">
        <f>IF(OR(H21=0,H21=""),"",H61/H21)</f>
        <v/>
      </c>
      <c r="J61" s="26"/>
      <c r="K61" s="31" t="str">
        <f>IF(OR(J21=0,J21=""),"",J61/J21)</f>
        <v/>
      </c>
      <c r="L61" s="26"/>
      <c r="M61" s="31" t="str">
        <f>IF(OR(L21=0,L21=""),"",L61/L21)</f>
        <v/>
      </c>
    </row>
    <row r="62" spans="1:13" x14ac:dyDescent="0.2">
      <c r="A62" s="25" t="s">
        <v>190</v>
      </c>
      <c r="B62" s="26"/>
      <c r="C62" s="31" t="str">
        <f>IF(OR(B21=0,B21=""),"",B62/B21)</f>
        <v/>
      </c>
      <c r="D62" s="26"/>
      <c r="E62" s="31" t="str">
        <f>IF(OR(D21=0,D21=""),"",D62/D21)</f>
        <v/>
      </c>
      <c r="F62" s="26"/>
      <c r="G62" s="31" t="str">
        <f>IF(OR(F21=0,F21=""),"",F62/F21)</f>
        <v/>
      </c>
      <c r="H62" s="26"/>
      <c r="I62" s="31" t="str">
        <f>IF(OR(H21=0,H21=""),"",H62/H21)</f>
        <v/>
      </c>
      <c r="J62" s="26"/>
      <c r="K62" s="31" t="str">
        <f>IF(OR(J21=0,J21=""),"",J62/J21)</f>
        <v/>
      </c>
      <c r="L62" s="26"/>
      <c r="M62" s="31" t="str">
        <f>IF(OR(L21=0,L21=""),"",L62/L21)</f>
        <v/>
      </c>
    </row>
    <row r="63" spans="1:13" x14ac:dyDescent="0.2">
      <c r="A63" s="25" t="s">
        <v>106</v>
      </c>
      <c r="B63" s="26"/>
      <c r="C63" s="31" t="str">
        <f>IF(OR(B21=0,B21=""),"",B63/B21)</f>
        <v/>
      </c>
      <c r="D63" s="26"/>
      <c r="E63" s="31" t="str">
        <f>IF(OR(D21=0,D21=""),"",D63/D21)</f>
        <v/>
      </c>
      <c r="F63" s="26"/>
      <c r="G63" s="31" t="str">
        <f>IF(OR(F21=0,F21=""),"",F63/F21)</f>
        <v/>
      </c>
      <c r="H63" s="26"/>
      <c r="I63" s="31" t="str">
        <f>IF(OR(H21=0,H21=""),"",H63/H21)</f>
        <v/>
      </c>
      <c r="J63" s="26"/>
      <c r="K63" s="31" t="str">
        <f>IF(OR(J21=0,J21=""),"",J63/J21)</f>
        <v/>
      </c>
      <c r="L63" s="26"/>
      <c r="M63" s="31" t="str">
        <f>IF(OR(L21=0,L21=""),"",L63/L21)</f>
        <v/>
      </c>
    </row>
    <row r="64" spans="1:13" x14ac:dyDescent="0.2">
      <c r="A64" s="25" t="s">
        <v>191</v>
      </c>
      <c r="B64" s="26"/>
      <c r="C64" s="31" t="str">
        <f>IF(OR(B21=0,B21=""),"",B64/B21)</f>
        <v/>
      </c>
      <c r="D64" s="26"/>
      <c r="E64" s="31" t="str">
        <f>IF(OR(D21=0,D21=""),"",D64/D21)</f>
        <v/>
      </c>
      <c r="F64" s="26"/>
      <c r="G64" s="31" t="str">
        <f>IF(OR(F21=0,F21=""),"",F64/F21)</f>
        <v/>
      </c>
      <c r="H64" s="26"/>
      <c r="I64" s="31" t="str">
        <f>IF(OR(H21=0,H21=""),"",H64/H21)</f>
        <v/>
      </c>
      <c r="J64" s="26"/>
      <c r="K64" s="31" t="str">
        <f>IF(OR(J21=0,J21=""),"",J64/J21)</f>
        <v/>
      </c>
      <c r="L64" s="26"/>
      <c r="M64" s="31" t="str">
        <f>IF(OR(L21=0,L21=""),"",L64/L21)</f>
        <v/>
      </c>
    </row>
    <row r="65" spans="1:13" x14ac:dyDescent="0.2">
      <c r="A65" s="25" t="s">
        <v>192</v>
      </c>
      <c r="B65" s="26"/>
      <c r="C65" s="31" t="str">
        <f>IF(OR(B21=0,B21=""),"",B65/B21)</f>
        <v/>
      </c>
      <c r="D65" s="26"/>
      <c r="E65" s="31" t="str">
        <f>IF(OR(D21=0,D21=""),"",D65/D21)</f>
        <v/>
      </c>
      <c r="F65" s="26"/>
      <c r="G65" s="31" t="str">
        <f>IF(OR(F21=0,F21=""),"",F65/F21)</f>
        <v/>
      </c>
      <c r="H65" s="26"/>
      <c r="I65" s="31" t="str">
        <f>IF(OR(H21=0,H21=""),"",H65/H21)</f>
        <v/>
      </c>
      <c r="J65" s="26"/>
      <c r="K65" s="31" t="str">
        <f>IF(OR(J21=0,J21=""),"",J65/J21)</f>
        <v/>
      </c>
      <c r="L65" s="26"/>
      <c r="M65" s="31" t="str">
        <f>IF(OR(L21=0,L21=""),"",L65/L21)</f>
        <v/>
      </c>
    </row>
    <row r="66" spans="1:13" x14ac:dyDescent="0.2">
      <c r="A66" s="25" t="s">
        <v>194</v>
      </c>
      <c r="B66" s="26"/>
      <c r="C66" s="31" t="str">
        <f>IF(OR(B21=0,B21=""),"",B66/B21)</f>
        <v/>
      </c>
      <c r="D66" s="26"/>
      <c r="E66" s="31" t="str">
        <f>IF(OR(D21=0,D21=""),"",D66/D21)</f>
        <v/>
      </c>
      <c r="F66" s="26"/>
      <c r="G66" s="31" t="str">
        <f>IF(OR(F21=0,F21=""),"",F66/F21)</f>
        <v/>
      </c>
      <c r="H66" s="26"/>
      <c r="I66" s="31" t="str">
        <f>IF(OR(H21=0,H21=""),"",H66/H21)</f>
        <v/>
      </c>
      <c r="J66" s="26"/>
      <c r="K66" s="31" t="str">
        <f>IF(OR(J21=0,J21=""),"",J66/J21)</f>
        <v/>
      </c>
      <c r="L66" s="26"/>
      <c r="M66" s="31" t="str">
        <f>IF(OR(L21=0,L21=""),"",L66/L21)</f>
        <v/>
      </c>
    </row>
    <row r="67" spans="1:13" x14ac:dyDescent="0.2">
      <c r="A67" s="25" t="s">
        <v>195</v>
      </c>
      <c r="B67" s="26"/>
      <c r="C67" s="31" t="str">
        <f>IF(OR(B21=0,B21=""),"",B67/B21)</f>
        <v/>
      </c>
      <c r="D67" s="26"/>
      <c r="E67" s="31" t="str">
        <f>IF(OR(D21=0,D21=""),"",D67/D21)</f>
        <v/>
      </c>
      <c r="F67" s="26"/>
      <c r="G67" s="31" t="str">
        <f>IF(OR(F21=0,F21=""),"",F67/F21)</f>
        <v/>
      </c>
      <c r="H67" s="26"/>
      <c r="I67" s="31" t="str">
        <f>IF(OR(H21=0,H21=""),"",H67/H21)</f>
        <v/>
      </c>
      <c r="J67" s="26"/>
      <c r="K67" s="31" t="str">
        <f>IF(OR(J21=0,J21=""),"",J67/J21)</f>
        <v/>
      </c>
      <c r="L67" s="26"/>
      <c r="M67" s="31" t="str">
        <f>IF(OR(L21=0,L21=""),"",L67/L21)</f>
        <v/>
      </c>
    </row>
    <row r="68" spans="1:13" x14ac:dyDescent="0.2">
      <c r="A68" s="25" t="s">
        <v>196</v>
      </c>
      <c r="B68" s="26"/>
      <c r="C68" s="31" t="str">
        <f>IF(OR(B21=0,B21=""),"",B68/B21)</f>
        <v/>
      </c>
      <c r="D68" s="26"/>
      <c r="E68" s="31" t="str">
        <f>IF(OR(D21=0,D21=""),"",D68/D21)</f>
        <v/>
      </c>
      <c r="F68" s="26"/>
      <c r="G68" s="31" t="str">
        <f>IF(OR(F21=0,F21=""),"",F68/F21)</f>
        <v/>
      </c>
      <c r="H68" s="26"/>
      <c r="I68" s="31" t="str">
        <f>IF(OR(H21=0,H21=""),"",H68/H21)</f>
        <v/>
      </c>
      <c r="J68" s="26"/>
      <c r="K68" s="31" t="str">
        <f>IF(OR(J21=0,J21=""),"",J68/J21)</f>
        <v/>
      </c>
      <c r="L68" s="26"/>
      <c r="M68" s="31" t="str">
        <f>IF(OR(L21=0,L21=""),"",L68/L21)</f>
        <v/>
      </c>
    </row>
    <row r="69" spans="1:13" x14ac:dyDescent="0.2">
      <c r="A69" s="25" t="s">
        <v>293</v>
      </c>
      <c r="B69" s="26"/>
      <c r="C69" s="31" t="str">
        <f>IF(OR(B21=0,B21=""),"",B69/B21)</f>
        <v/>
      </c>
      <c r="D69" s="26"/>
      <c r="E69" s="31" t="str">
        <f>IF(OR(D21=0,D21=""),"",D69/D21)</f>
        <v/>
      </c>
      <c r="F69" s="26"/>
      <c r="G69" s="31" t="str">
        <f>IF(OR(F21=0,F21=""),"",F69/F21)</f>
        <v/>
      </c>
      <c r="H69" s="26"/>
      <c r="I69" s="31" t="str">
        <f>IF(OR(H21=0,H21=""),"",H69/H21)</f>
        <v/>
      </c>
      <c r="J69" s="26"/>
      <c r="K69" s="31" t="str">
        <f>IF(OR(J21=0,J21=""),"",J69/J21)</f>
        <v/>
      </c>
      <c r="L69" s="26"/>
      <c r="M69" s="31" t="str">
        <f>IF(OR(L21=0,L21=""),"",L69/L21)</f>
        <v/>
      </c>
    </row>
    <row r="70" spans="1:13" x14ac:dyDescent="0.2">
      <c r="A70" s="25" t="s">
        <v>197</v>
      </c>
      <c r="B70" s="26"/>
      <c r="C70" s="31" t="str">
        <f>IF(OR(B21=0,B21=""),"",B70/B21)</f>
        <v/>
      </c>
      <c r="D70" s="26"/>
      <c r="E70" s="31" t="str">
        <f>IF(OR(D21=0,D21=""),"",D70/D21)</f>
        <v/>
      </c>
      <c r="F70" s="26"/>
      <c r="G70" s="31" t="str">
        <f>IF(OR(F21=0,F21=""),"",F70/F21)</f>
        <v/>
      </c>
      <c r="H70" s="26"/>
      <c r="I70" s="31" t="str">
        <f>IF(OR(H21=0,H21=""),"",H70/H21)</f>
        <v/>
      </c>
      <c r="J70" s="26"/>
      <c r="K70" s="31" t="str">
        <f>IF(OR(J21=0,J21=""),"",J70/J21)</f>
        <v/>
      </c>
      <c r="L70" s="26"/>
      <c r="M70" s="31" t="str">
        <f>IF(OR(L21=0,L21=""),"",L70/L21)</f>
        <v/>
      </c>
    </row>
    <row r="71" spans="1:13" x14ac:dyDescent="0.2">
      <c r="A71" s="25" t="s">
        <v>294</v>
      </c>
      <c r="B71" s="26"/>
      <c r="C71" s="31" t="str">
        <f>IF(OR(B21=0,B21=""),"",B71/B21)</f>
        <v/>
      </c>
      <c r="D71" s="26"/>
      <c r="E71" s="31" t="str">
        <f>IF(OR(D21=0,D21=""),"",D71/D21)</f>
        <v/>
      </c>
      <c r="F71" s="26"/>
      <c r="G71" s="31" t="str">
        <f>IF(OR(F21=0,F21=""),"",F71/F21)</f>
        <v/>
      </c>
      <c r="H71" s="26"/>
      <c r="I71" s="31" t="str">
        <f>IF(OR(H21=0,H21=""),"",H71/H21)</f>
        <v/>
      </c>
      <c r="J71" s="26"/>
      <c r="K71" s="31" t="str">
        <f>IF(OR(J21=0,J21=""),"",J71/J21)</f>
        <v/>
      </c>
      <c r="L71" s="26"/>
      <c r="M71" s="31" t="str">
        <f>IF(OR(L21=0,L21=""),"",L71/L21)</f>
        <v/>
      </c>
    </row>
    <row r="72" spans="1:13" x14ac:dyDescent="0.2">
      <c r="A72" s="25" t="s">
        <v>198</v>
      </c>
      <c r="B72" s="26"/>
      <c r="C72" s="31" t="str">
        <f>IF(OR(B21=0,B21=""),"",B72/B21)</f>
        <v/>
      </c>
      <c r="D72" s="26"/>
      <c r="E72" s="31" t="str">
        <f>IF(OR(D21=0,D21=""),"",D72/D21)</f>
        <v/>
      </c>
      <c r="F72" s="26"/>
      <c r="G72" s="31" t="str">
        <f>IF(OR(F21=0,F21=""),"",F72/F21)</f>
        <v/>
      </c>
      <c r="H72" s="26"/>
      <c r="I72" s="31" t="str">
        <f>IF(OR(H21=0,H21=""),"",H72/H21)</f>
        <v/>
      </c>
      <c r="J72" s="26"/>
      <c r="K72" s="31" t="str">
        <f>IF(OR(J21=0,J21=""),"",J72/J21)</f>
        <v/>
      </c>
      <c r="L72" s="26"/>
      <c r="M72" s="31" t="str">
        <f>IF(OR(L21=0,L21=""),"",L72/L21)</f>
        <v/>
      </c>
    </row>
    <row r="73" spans="1:13" x14ac:dyDescent="0.2">
      <c r="A73" s="25" t="s">
        <v>199</v>
      </c>
      <c r="B73" s="26"/>
      <c r="C73" s="31" t="str">
        <f>IF(OR(B21=0,B21=""),"",B73/B21)</f>
        <v/>
      </c>
      <c r="D73" s="26"/>
      <c r="E73" s="31" t="str">
        <f>IF(OR(D21=0,D21=""),"",D73/D21)</f>
        <v/>
      </c>
      <c r="F73" s="26"/>
      <c r="G73" s="31" t="str">
        <f>IF(OR(F21=0,F21=""),"",F73/F21)</f>
        <v/>
      </c>
      <c r="H73" s="26"/>
      <c r="I73" s="31" t="str">
        <f>IF(OR(H21=0,H21=""),"",H73/H21)</f>
        <v/>
      </c>
      <c r="J73" s="26"/>
      <c r="K73" s="31" t="str">
        <f>IF(OR(J21=0,J21=""),"",J73/J21)</f>
        <v/>
      </c>
      <c r="L73" s="26"/>
      <c r="M73" s="31" t="str">
        <f>IF(OR(L21=0,L21=""),"",L73/L21)</f>
        <v/>
      </c>
    </row>
    <row r="74" spans="1:13" x14ac:dyDescent="0.2">
      <c r="A74" s="25" t="s">
        <v>200</v>
      </c>
      <c r="B74" s="26"/>
      <c r="C74" s="31" t="str">
        <f>IF(OR(B21=0,B21=""),"",B74/B21)</f>
        <v/>
      </c>
      <c r="D74" s="26"/>
      <c r="E74" s="31" t="str">
        <f>IF(OR(D21=0,D21=""),"",D74/D21)</f>
        <v/>
      </c>
      <c r="F74" s="26"/>
      <c r="G74" s="31" t="str">
        <f>IF(OR(F21=0,F21=""),"",F74/F21)</f>
        <v/>
      </c>
      <c r="H74" s="26"/>
      <c r="I74" s="31" t="str">
        <f>IF(OR(H21=0,H21=""),"",H74/H21)</f>
        <v/>
      </c>
      <c r="J74" s="26"/>
      <c r="K74" s="31" t="str">
        <f>IF(OR(J21=0,J21=""),"",J74/J21)</f>
        <v/>
      </c>
      <c r="L74" s="26"/>
      <c r="M74" s="31" t="str">
        <f>IF(OR(L21=0,L21=""),"",L74/L21)</f>
        <v/>
      </c>
    </row>
    <row r="75" spans="1:13" x14ac:dyDescent="0.2">
      <c r="A75" s="25" t="s">
        <v>201</v>
      </c>
      <c r="B75" s="26"/>
      <c r="C75" s="31" t="str">
        <f>IF(OR(B21=0,B21=""),"",B75/B21)</f>
        <v/>
      </c>
      <c r="D75" s="26"/>
      <c r="E75" s="31" t="str">
        <f>IF(OR(D21=0,D21=""),"",D75/D21)</f>
        <v/>
      </c>
      <c r="F75" s="26"/>
      <c r="G75" s="31" t="str">
        <f>IF(OR(F21=0,F21=""),"",F75/F21)</f>
        <v/>
      </c>
      <c r="H75" s="26"/>
      <c r="I75" s="31" t="str">
        <f>IF(OR(H21=0,H21=""),"",H75/H21)</f>
        <v/>
      </c>
      <c r="J75" s="26"/>
      <c r="K75" s="31" t="str">
        <f>IF(OR(J21=0,J21=""),"",J75/J21)</f>
        <v/>
      </c>
      <c r="L75" s="26"/>
      <c r="M75" s="31" t="str">
        <f>IF(OR(L21=0,L21=""),"",L75/L21)</f>
        <v/>
      </c>
    </row>
    <row r="76" spans="1:13" x14ac:dyDescent="0.2">
      <c r="A76" s="25" t="s">
        <v>295</v>
      </c>
      <c r="B76" s="26"/>
      <c r="C76" s="31" t="str">
        <f>IF(OR(B21=0,B21=""),"",B76/B21)</f>
        <v/>
      </c>
      <c r="D76" s="26"/>
      <c r="E76" s="31" t="str">
        <f>IF(OR(D21=0,D21=""),"",D76/D21)</f>
        <v/>
      </c>
      <c r="F76" s="26"/>
      <c r="G76" s="31" t="str">
        <f>IF(OR(F21=0,F21=""),"",F76/F21)</f>
        <v/>
      </c>
      <c r="H76" s="26"/>
      <c r="I76" s="31" t="str">
        <f>IF(OR(H21=0,H21=""),"",H76/H21)</f>
        <v/>
      </c>
      <c r="J76" s="26"/>
      <c r="K76" s="31" t="str">
        <f>IF(OR(J21=0,J21=""),"",J76/J21)</f>
        <v/>
      </c>
      <c r="L76" s="26"/>
      <c r="M76" s="31" t="str">
        <f>IF(OR(L21=0,L21=""),"",L76/L21)</f>
        <v/>
      </c>
    </row>
    <row r="77" spans="1:13" x14ac:dyDescent="0.2">
      <c r="A77" s="25" t="s">
        <v>296</v>
      </c>
      <c r="B77" s="26"/>
      <c r="C77" s="31" t="str">
        <f>IF(OR(B21=0,B21=""),"",B77/B21)</f>
        <v/>
      </c>
      <c r="D77" s="26"/>
      <c r="E77" s="31" t="str">
        <f>IF(OR(D21=0,D21=""),"",D77/D21)</f>
        <v/>
      </c>
      <c r="F77" s="26"/>
      <c r="G77" s="31" t="str">
        <f>IF(OR(F21=0,F21=""),"",F77/F21)</f>
        <v/>
      </c>
      <c r="H77" s="26"/>
      <c r="I77" s="31" t="str">
        <f>IF(OR(H21=0,H21=""),"",H77/H21)</f>
        <v/>
      </c>
      <c r="J77" s="26"/>
      <c r="K77" s="31" t="str">
        <f>IF(OR(J21=0,J21=""),"",J77/J21)</f>
        <v/>
      </c>
      <c r="L77" s="26"/>
      <c r="M77" s="31" t="str">
        <f>IF(OR(L21=0,L21=""),"",L77/L21)</f>
        <v/>
      </c>
    </row>
    <row r="78" spans="1:13" x14ac:dyDescent="0.2">
      <c r="A78" s="35" t="s">
        <v>202</v>
      </c>
      <c r="B78" s="36">
        <f>B48+B49+B50+B51+B52+B53+B54+B55+B56+B57+B58+B59+B60+B61+B62+B63+B64+B65+B66+B67+B68+B69+B70+B71+B72+B73+B74+B75+B76+B77</f>
        <v>0</v>
      </c>
      <c r="C78" s="37" t="str">
        <f>IF(OR(B21=0,B21=""),"",B78/B21)</f>
        <v/>
      </c>
      <c r="D78" s="36">
        <f>D48+D49+D50+D51+D52+D53+D54+D55+D56+D57+D58+D59+D60+D61+D62+D63+D64+D65+D66+D67+D68+D69+D70+D71+D72+D73+D74+D75+D76+D77</f>
        <v>0</v>
      </c>
      <c r="E78" s="37" t="str">
        <f>IF(OR(D21=0,D21=""),"",D78/D21)</f>
        <v/>
      </c>
      <c r="F78" s="36">
        <f>F48+F49+F50+F51+F52+F53+F54+F55+F56+F57+F58+F59+F60+F61+F62+F63+F64+F65+F66+F67+F68+F69+F70+F71+F72+F73+F74+F75+F76+F77</f>
        <v>0</v>
      </c>
      <c r="G78" s="37" t="str">
        <f>IF(OR(F21=0,F21=""),"",F78/F21)</f>
        <v/>
      </c>
      <c r="H78" s="36">
        <f>H48+H49+H50+H51+H52+H53+H54+H55+H56+H57+H58+H59+H60+H61+H62+H63+H64+H65+H66+H67+H68+H69+H70+H71+H72+H73+H74+H75+H76+H77</f>
        <v>0</v>
      </c>
      <c r="I78" s="37" t="str">
        <f>IF(OR(H21=0,H21=""),"",H78/H21)</f>
        <v/>
      </c>
      <c r="J78" s="36">
        <f>J48+J49+J50+J51+J52+J53+J54+J55+J56+J57+J58+J59+J60+J61+J62+J63+J64+J65+J66+J67+J68+J69+J70+J71+J72+J73+J74+J75+J76+J77</f>
        <v>0</v>
      </c>
      <c r="K78" s="37" t="str">
        <f>IF(OR(J21=0,J21=""),"",J78/J21)</f>
        <v/>
      </c>
      <c r="L78" s="36">
        <f>L48+L49+L50+L51+L52+L53+L54+L55+L56+L57+L58+L59+L60+L61+L62+L63+L64+L65+L66+L67+L68+L69+L70+L71+L72+L73+L74+L75+L76+L77</f>
        <v>0</v>
      </c>
      <c r="M78" s="37" t="str">
        <f>IF(OR(L21=0,L21=""),"",L78/L21)</f>
        <v/>
      </c>
    </row>
    <row r="79" spans="1:13" x14ac:dyDescent="0.2">
      <c r="A79" s="32" t="s">
        <v>203</v>
      </c>
      <c r="B79" s="33">
        <f>B46+B78</f>
        <v>0</v>
      </c>
      <c r="C79" s="34" t="str">
        <f>IF(OR(B21=0,B21=""),"",B79/B21)</f>
        <v/>
      </c>
      <c r="D79" s="33">
        <f>D46+D78</f>
        <v>0</v>
      </c>
      <c r="E79" s="34" t="str">
        <f>IF(OR(D21=0,D21=""),"",D79/D21)</f>
        <v/>
      </c>
      <c r="F79" s="33">
        <f>F46+F78</f>
        <v>0</v>
      </c>
      <c r="G79" s="34" t="str">
        <f>IF(OR(F21=0,F21=""),"",F79/F21)</f>
        <v/>
      </c>
      <c r="H79" s="33">
        <f>H46+H78</f>
        <v>0</v>
      </c>
      <c r="I79" s="34" t="str">
        <f>IF(OR(H21=0,H21=""),"",H79/H21)</f>
        <v/>
      </c>
      <c r="J79" s="33">
        <f>J46+J78</f>
        <v>0</v>
      </c>
      <c r="K79" s="34" t="str">
        <f>IF(OR(J21=0,J21=""),"",J79/J21)</f>
        <v/>
      </c>
      <c r="L79" s="33">
        <f>L46+L78</f>
        <v>0</v>
      </c>
      <c r="M79" s="34" t="str">
        <f>IF(OR(L21=0,L21=""),"",L79/L21)</f>
        <v/>
      </c>
    </row>
    <row r="80" spans="1:13" x14ac:dyDescent="0.2">
      <c r="A80" s="38" t="s">
        <v>204</v>
      </c>
      <c r="B80" s="39">
        <f>B26-B78</f>
        <v>0</v>
      </c>
      <c r="C80" s="40" t="str">
        <f>IF(OR(B21=0,B21=""),"",B80/B21)</f>
        <v/>
      </c>
      <c r="D80" s="39">
        <f>D26-D78</f>
        <v>0</v>
      </c>
      <c r="E80" s="40" t="str">
        <f>IF(OR(D21=0,D21=""),"",D80/D21)</f>
        <v/>
      </c>
      <c r="F80" s="39">
        <f>F26-F78</f>
        <v>0</v>
      </c>
      <c r="G80" s="40" t="str">
        <f>IF(OR(F21=0,F21=""),"",F80/F21)</f>
        <v/>
      </c>
      <c r="H80" s="39">
        <f>H26-H78</f>
        <v>0</v>
      </c>
      <c r="I80" s="40" t="str">
        <f>IF(OR(H21=0,H21=""),"",H80/H21)</f>
        <v/>
      </c>
      <c r="J80" s="39">
        <f>J26-J78</f>
        <v>0</v>
      </c>
      <c r="K80" s="40" t="str">
        <f>IF(OR(J21=0,J21=""),"",J80/J21)</f>
        <v/>
      </c>
      <c r="L80" s="39">
        <f>L26-L78</f>
        <v>0</v>
      </c>
      <c r="M80" s="40" t="str">
        <f>IF(OR(L21=0,L21=""),"",L80/L21)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M72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129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298</v>
      </c>
      <c r="B8" s="26"/>
      <c r="C8" s="31" t="str">
        <f>IF(OR(B18=0,B18=""),"",B8/B18)</f>
        <v/>
      </c>
      <c r="D8" s="26"/>
      <c r="E8" s="31" t="str">
        <f>IF(OR(D18=0,D18=""),"",D8/D18)</f>
        <v/>
      </c>
      <c r="F8" s="26"/>
      <c r="G8" s="31" t="str">
        <f>IF(OR(F18=0,F18=""),"",F8/F18)</f>
        <v/>
      </c>
      <c r="H8" s="26"/>
      <c r="I8" s="31" t="str">
        <f>IF(OR(H18=0,H18=""),"",H8/H18)</f>
        <v/>
      </c>
      <c r="J8" s="26"/>
      <c r="K8" s="31" t="str">
        <f>IF(OR(J18=0,J18=""),"",J8/J18)</f>
        <v/>
      </c>
      <c r="L8" s="26"/>
      <c r="M8" s="31" t="str">
        <f>IF(OR(L18=0,L18=""),"",L8/L18)</f>
        <v/>
      </c>
    </row>
    <row r="9" spans="1:13" x14ac:dyDescent="0.2">
      <c r="A9" s="25" t="s">
        <v>299</v>
      </c>
      <c r="B9" s="26"/>
      <c r="C9" s="31" t="str">
        <f>IF(OR(B18=0,B18=""),"",B9/B18)</f>
        <v/>
      </c>
      <c r="D9" s="26"/>
      <c r="E9" s="31" t="str">
        <f>IF(OR(D18=0,D18=""),"",D9/D18)</f>
        <v/>
      </c>
      <c r="F9" s="26"/>
      <c r="G9" s="31" t="str">
        <f>IF(OR(F18=0,F18=""),"",F9/F18)</f>
        <v/>
      </c>
      <c r="H9" s="26"/>
      <c r="I9" s="31" t="str">
        <f>IF(OR(H18=0,H18=""),"",H9/H18)</f>
        <v/>
      </c>
      <c r="J9" s="26"/>
      <c r="K9" s="31" t="str">
        <f>IF(OR(J18=0,J18=""),"",J9/J18)</f>
        <v/>
      </c>
      <c r="L9" s="26"/>
      <c r="M9" s="31" t="str">
        <f>IF(OR(L18=0,L18=""),"",L9/L18)</f>
        <v/>
      </c>
    </row>
    <row r="10" spans="1:13" x14ac:dyDescent="0.2">
      <c r="A10" s="25" t="s">
        <v>300</v>
      </c>
      <c r="B10" s="26"/>
      <c r="C10" s="31" t="str">
        <f>IF(OR(B18=0,B18=""),"",B10/B18)</f>
        <v/>
      </c>
      <c r="D10" s="26"/>
      <c r="E10" s="31" t="str">
        <f>IF(OR(D18=0,D18=""),"",D10/D18)</f>
        <v/>
      </c>
      <c r="F10" s="26"/>
      <c r="G10" s="31" t="str">
        <f>IF(OR(F18=0,F18=""),"",F10/F18)</f>
        <v/>
      </c>
      <c r="H10" s="26"/>
      <c r="I10" s="31" t="str">
        <f>IF(OR(H18=0,H18=""),"",H10/H18)</f>
        <v/>
      </c>
      <c r="J10" s="26"/>
      <c r="K10" s="31" t="str">
        <f>IF(OR(J18=0,J18=""),"",J10/J18)</f>
        <v/>
      </c>
      <c r="L10" s="26"/>
      <c r="M10" s="31" t="str">
        <f>IF(OR(L18=0,L18=""),"",L10/L18)</f>
        <v/>
      </c>
    </row>
    <row r="11" spans="1:13" x14ac:dyDescent="0.2">
      <c r="A11" s="25" t="s">
        <v>301</v>
      </c>
      <c r="B11" s="26"/>
      <c r="C11" s="31" t="str">
        <f>IF(OR(B18=0,B18=""),"",B11/B18)</f>
        <v/>
      </c>
      <c r="D11" s="26"/>
      <c r="E11" s="31" t="str">
        <f>IF(OR(D18=0,D18=""),"",D11/D18)</f>
        <v/>
      </c>
      <c r="F11" s="26"/>
      <c r="G11" s="31" t="str">
        <f>IF(OR(F18=0,F18=""),"",F11/F18)</f>
        <v/>
      </c>
      <c r="H11" s="26"/>
      <c r="I11" s="31" t="str">
        <f>IF(OR(H18=0,H18=""),"",H11/H18)</f>
        <v/>
      </c>
      <c r="J11" s="26"/>
      <c r="K11" s="31" t="str">
        <f>IF(OR(J18=0,J18=""),"",J11/J18)</f>
        <v/>
      </c>
      <c r="L11" s="26"/>
      <c r="M11" s="31" t="str">
        <f>IF(OR(L18=0,L18=""),"",L11/L18)</f>
        <v/>
      </c>
    </row>
    <row r="12" spans="1:13" x14ac:dyDescent="0.2">
      <c r="A12" s="25" t="s">
        <v>302</v>
      </c>
      <c r="B12" s="26"/>
      <c r="C12" s="31" t="str">
        <f>IF(OR(B18=0,B18=""),"",B12/B18)</f>
        <v/>
      </c>
      <c r="D12" s="26"/>
      <c r="E12" s="31" t="str">
        <f>IF(OR(D18=0,D18=""),"",D12/D18)</f>
        <v/>
      </c>
      <c r="F12" s="26"/>
      <c r="G12" s="31" t="str">
        <f>IF(OR(F18=0,F18=""),"",F12/F18)</f>
        <v/>
      </c>
      <c r="H12" s="26"/>
      <c r="I12" s="31" t="str">
        <f>IF(OR(H18=0,H18=""),"",H12/H18)</f>
        <v/>
      </c>
      <c r="J12" s="26"/>
      <c r="K12" s="31" t="str">
        <f>IF(OR(J18=0,J18=""),"",J12/J18)</f>
        <v/>
      </c>
      <c r="L12" s="26"/>
      <c r="M12" s="31" t="str">
        <f>IF(OR(L18=0,L18=""),"",L12/L18)</f>
        <v/>
      </c>
    </row>
    <row r="13" spans="1:13" x14ac:dyDescent="0.2">
      <c r="A13" s="25" t="s">
        <v>303</v>
      </c>
      <c r="B13" s="26"/>
      <c r="C13" s="31" t="str">
        <f>IF(OR(B18=0,B18=""),"",B13/B18)</f>
        <v/>
      </c>
      <c r="D13" s="26"/>
      <c r="E13" s="31" t="str">
        <f>IF(OR(D18=0,D18=""),"",D13/D18)</f>
        <v/>
      </c>
      <c r="F13" s="26"/>
      <c r="G13" s="31" t="str">
        <f>IF(OR(F18=0,F18=""),"",F13/F18)</f>
        <v/>
      </c>
      <c r="H13" s="26"/>
      <c r="I13" s="31" t="str">
        <f>IF(OR(H18=0,H18=""),"",H13/H18)</f>
        <v/>
      </c>
      <c r="J13" s="26"/>
      <c r="K13" s="31" t="str">
        <f>IF(OR(J18=0,J18=""),"",J13/J18)</f>
        <v/>
      </c>
      <c r="L13" s="26"/>
      <c r="M13" s="31" t="str">
        <f>IF(OR(L18=0,L18=""),"",L13/L18)</f>
        <v/>
      </c>
    </row>
    <row r="14" spans="1:13" x14ac:dyDescent="0.2">
      <c r="A14" s="25" t="s">
        <v>279</v>
      </c>
      <c r="B14" s="26"/>
      <c r="C14" s="31" t="str">
        <f>IF(OR(B18=0,B18=""),"",B14/B18)</f>
        <v/>
      </c>
      <c r="D14" s="26"/>
      <c r="E14" s="31" t="str">
        <f>IF(OR(D18=0,D18=""),"",D14/D18)</f>
        <v/>
      </c>
      <c r="F14" s="26"/>
      <c r="G14" s="31" t="str">
        <f>IF(OR(F18=0,F18=""),"",F14/F18)</f>
        <v/>
      </c>
      <c r="H14" s="26"/>
      <c r="I14" s="31" t="str">
        <f>IF(OR(H18=0,H18=""),"",H14/H18)</f>
        <v/>
      </c>
      <c r="J14" s="26"/>
      <c r="K14" s="31" t="str">
        <f>IF(OR(J18=0,J18=""),"",J14/J18)</f>
        <v/>
      </c>
      <c r="L14" s="26"/>
      <c r="M14" s="31" t="str">
        <f>IF(OR(L18=0,L18=""),"",L14/L18)</f>
        <v/>
      </c>
    </row>
    <row r="15" spans="1:13" x14ac:dyDescent="0.2">
      <c r="A15" s="25" t="s">
        <v>304</v>
      </c>
      <c r="B15" s="26"/>
      <c r="C15" s="31" t="str">
        <f>IF(OR(B18=0,B18=""),"",B15/B18)</f>
        <v/>
      </c>
      <c r="D15" s="26"/>
      <c r="E15" s="31" t="str">
        <f>IF(OR(D18=0,D18=""),"",D15/D18)</f>
        <v/>
      </c>
      <c r="F15" s="26"/>
      <c r="G15" s="31" t="str">
        <f>IF(OR(F18=0,F18=""),"",F15/F18)</f>
        <v/>
      </c>
      <c r="H15" s="26"/>
      <c r="I15" s="31" t="str">
        <f>IF(OR(H18=0,H18=""),"",H15/H18)</f>
        <v/>
      </c>
      <c r="J15" s="26"/>
      <c r="K15" s="31" t="str">
        <f>IF(OR(J18=0,J18=""),"",J15/J18)</f>
        <v/>
      </c>
      <c r="L15" s="26"/>
      <c r="M15" s="31" t="str">
        <f>IF(OR(L18=0,L18=""),"",L15/L18)</f>
        <v/>
      </c>
    </row>
    <row r="16" spans="1:13" x14ac:dyDescent="0.2">
      <c r="A16" s="25" t="s">
        <v>222</v>
      </c>
      <c r="B16" s="26"/>
      <c r="C16" s="31" t="str">
        <f>IF(OR(B18=0,B18=""),"",B16/B18)</f>
        <v/>
      </c>
      <c r="D16" s="26"/>
      <c r="E16" s="31" t="str">
        <f>IF(OR(D18=0,D18=""),"",D16/D18)</f>
        <v/>
      </c>
      <c r="F16" s="26"/>
      <c r="G16" s="31" t="str">
        <f>IF(OR(F18=0,F18=""),"",F16/F18)</f>
        <v/>
      </c>
      <c r="H16" s="26"/>
      <c r="I16" s="31" t="str">
        <f>IF(OR(H18=0,H18=""),"",H16/H18)</f>
        <v/>
      </c>
      <c r="J16" s="26"/>
      <c r="K16" s="31" t="str">
        <f>IF(OR(J18=0,J18=""),"",J16/J18)</f>
        <v/>
      </c>
      <c r="L16" s="26"/>
      <c r="M16" s="31" t="str">
        <f>IF(OR(L18=0,L18=""),"",L16/L18)</f>
        <v/>
      </c>
    </row>
    <row r="17" spans="1:13" x14ac:dyDescent="0.2">
      <c r="A17" s="25" t="s">
        <v>146</v>
      </c>
      <c r="B17" s="26"/>
      <c r="C17" s="31" t="str">
        <f>IF(OR(B18=0,B18=""),"",B17/B18)</f>
        <v/>
      </c>
      <c r="D17" s="26"/>
      <c r="E17" s="31" t="str">
        <f>IF(OR(D18=0,D18=""),"",D17/D18)</f>
        <v/>
      </c>
      <c r="F17" s="26"/>
      <c r="G17" s="31" t="str">
        <f>IF(OR(F18=0,F18=""),"",F17/F18)</f>
        <v/>
      </c>
      <c r="H17" s="26"/>
      <c r="I17" s="31" t="str">
        <f>IF(OR(H18=0,H18=""),"",H17/H18)</f>
        <v/>
      </c>
      <c r="J17" s="26"/>
      <c r="K17" s="31" t="str">
        <f>IF(OR(J18=0,J18=""),"",J17/J18)</f>
        <v/>
      </c>
      <c r="L17" s="26"/>
      <c r="M17" s="31" t="str">
        <f>IF(OR(L18=0,L18=""),"",L17/L18)</f>
        <v/>
      </c>
    </row>
    <row r="18" spans="1:13" x14ac:dyDescent="0.2">
      <c r="A18" s="32" t="s">
        <v>305</v>
      </c>
      <c r="B18" s="33">
        <f>B8+B9+B10+B11+B12+B13+B14+B15+B16-B17</f>
        <v>0</v>
      </c>
      <c r="C18" s="34" t="str">
        <f>IF(OR(B18=0,B18=""),"",B18/B18)</f>
        <v/>
      </c>
      <c r="D18" s="33">
        <f>D8+D9+D10+D11+D12+D13+D14+D15+D16-D17</f>
        <v>0</v>
      </c>
      <c r="E18" s="34" t="str">
        <f>IF(OR(D18=0,D18=""),"",D18/D18)</f>
        <v/>
      </c>
      <c r="F18" s="33">
        <f>F8+F9+F10+F11+F12+F13+F14+F15+F16-F17</f>
        <v>0</v>
      </c>
      <c r="G18" s="34" t="str">
        <f>IF(OR(F18=0,F18=""),"",F18/F18)</f>
        <v/>
      </c>
      <c r="H18" s="33">
        <f>H8+H9+H10+H11+H12+H13+H14+H15+H16-H17</f>
        <v>0</v>
      </c>
      <c r="I18" s="34" t="str">
        <f>IF(OR(H18=0,H18=""),"",H18/H18)</f>
        <v/>
      </c>
      <c r="J18" s="33">
        <f>J8+J9+J10+J11+J12+J13+J14+J15+J16-J17</f>
        <v>0</v>
      </c>
      <c r="K18" s="34" t="str">
        <f>IF(OR(J18=0,J18=""),"",J18/J18)</f>
        <v/>
      </c>
      <c r="L18" s="33">
        <f>L8+L9+L10+L11+L12+L13+L14+L15+L16-L17</f>
        <v>0</v>
      </c>
      <c r="M18" s="34" t="str">
        <f>IF(OR(L18=0,L18=""),"",L18/L18)</f>
        <v/>
      </c>
    </row>
    <row r="19" spans="1:13" x14ac:dyDescent="0.2">
      <c r="A19" s="25" t="s">
        <v>283</v>
      </c>
      <c r="B19" s="26"/>
      <c r="C19" s="31" t="str">
        <f>IF(OR(B18=0,B18=""),"",B19/B18)</f>
        <v/>
      </c>
      <c r="D19" s="26"/>
      <c r="E19" s="31" t="str">
        <f>IF(OR(D18=0,D18=""),"",D19/D18)</f>
        <v/>
      </c>
      <c r="F19" s="26"/>
      <c r="G19" s="31" t="str">
        <f>IF(OR(F18=0,F18=""),"",F19/F18)</f>
        <v/>
      </c>
      <c r="H19" s="26"/>
      <c r="I19" s="31" t="str">
        <f>IF(OR(H18=0,H18=""),"",H19/H18)</f>
        <v/>
      </c>
      <c r="J19" s="26"/>
      <c r="K19" s="31" t="str">
        <f>IF(OR(J18=0,J18=""),"",J19/J18)</f>
        <v/>
      </c>
      <c r="L19" s="26"/>
      <c r="M19" s="31" t="str">
        <f>IF(OR(L18=0,L18=""),"",L19/L18)</f>
        <v/>
      </c>
    </row>
    <row r="20" spans="1:13" x14ac:dyDescent="0.2">
      <c r="A20" s="35" t="s">
        <v>241</v>
      </c>
      <c r="B20" s="36">
        <f>B18-B19</f>
        <v>0</v>
      </c>
      <c r="C20" s="37" t="str">
        <f>IF(OR(B18=0,B18=""),"",B20/B18)</f>
        <v/>
      </c>
      <c r="D20" s="36">
        <f>D18-D19</f>
        <v>0</v>
      </c>
      <c r="E20" s="37" t="str">
        <f>IF(OR(D18=0,D18=""),"",D20/D18)</f>
        <v/>
      </c>
      <c r="F20" s="36">
        <f>F18-F19</f>
        <v>0</v>
      </c>
      <c r="G20" s="37" t="str">
        <f>IF(OR(F18=0,F18=""),"",F20/F18)</f>
        <v/>
      </c>
      <c r="H20" s="36">
        <f>H18-H19</f>
        <v>0</v>
      </c>
      <c r="I20" s="37" t="str">
        <f>IF(OR(H18=0,H18=""),"",H20/H18)</f>
        <v/>
      </c>
      <c r="J20" s="36">
        <f>J18-J19</f>
        <v>0</v>
      </c>
      <c r="K20" s="37" t="str">
        <f>IF(OR(J18=0,J18=""),"",J20/J18)</f>
        <v/>
      </c>
      <c r="L20" s="36">
        <f>L18-L19</f>
        <v>0</v>
      </c>
      <c r="M20" s="37" t="str">
        <f>IF(OR(L18=0,L18=""),"",L20/L18)</f>
        <v/>
      </c>
    </row>
    <row r="21" spans="1:13" x14ac:dyDescent="0.2">
      <c r="A21" s="23" t="s">
        <v>148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2">
      <c r="A22" s="23" t="s">
        <v>149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2">
      <c r="A23" s="23" t="s">
        <v>150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x14ac:dyDescent="0.2">
      <c r="A24" s="23" t="s">
        <v>151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2">
      <c r="A25" s="25" t="s">
        <v>152</v>
      </c>
      <c r="B25" s="26"/>
      <c r="D25" s="26"/>
      <c r="F25" s="26"/>
      <c r="H25" s="26"/>
      <c r="J25" s="26"/>
      <c r="L25" s="26"/>
    </row>
    <row r="26" spans="1:13" x14ac:dyDescent="0.2">
      <c r="A26" s="23" t="s">
        <v>153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 x14ac:dyDescent="0.2">
      <c r="A27" s="25" t="s">
        <v>306</v>
      </c>
      <c r="B27" s="26"/>
      <c r="D27" s="26"/>
      <c r="F27" s="26"/>
      <c r="H27" s="26"/>
      <c r="J27" s="26"/>
      <c r="L27" s="26"/>
    </row>
    <row r="28" spans="1:13" x14ac:dyDescent="0.2">
      <c r="A28" s="25" t="s">
        <v>307</v>
      </c>
      <c r="B28" s="26"/>
      <c r="D28" s="26"/>
      <c r="F28" s="26"/>
      <c r="H28" s="26"/>
      <c r="J28" s="26"/>
      <c r="L28" s="26"/>
    </row>
    <row r="29" spans="1:13" x14ac:dyDescent="0.2">
      <c r="A29" s="25" t="s">
        <v>308</v>
      </c>
      <c r="B29" s="26"/>
      <c r="D29" s="26"/>
      <c r="F29" s="26"/>
      <c r="H29" s="26"/>
      <c r="J29" s="26"/>
      <c r="L29" s="26"/>
    </row>
    <row r="30" spans="1:13" x14ac:dyDescent="0.2">
      <c r="A30" s="25" t="s">
        <v>309</v>
      </c>
      <c r="B30" s="26"/>
      <c r="D30" s="26"/>
      <c r="F30" s="26"/>
      <c r="H30" s="26"/>
      <c r="J30" s="26"/>
      <c r="L30" s="26"/>
    </row>
    <row r="31" spans="1:13" x14ac:dyDescent="0.2">
      <c r="A31" s="35" t="s">
        <v>160</v>
      </c>
      <c r="B31" s="36">
        <f>B25+B27+B28+B29+B30</f>
        <v>0</v>
      </c>
      <c r="C31" s="41"/>
      <c r="D31" s="36">
        <f>D25+D27+D28+D29+D30</f>
        <v>0</v>
      </c>
      <c r="E31" s="41"/>
      <c r="F31" s="36">
        <f>F25+F27+F28+F29+F30</f>
        <v>0</v>
      </c>
      <c r="G31" s="41"/>
      <c r="H31" s="36">
        <f>H25+H27+H28+H29+H30</f>
        <v>0</v>
      </c>
      <c r="I31" s="41"/>
      <c r="J31" s="36">
        <f>J25+J27+J28+J29+J30</f>
        <v>0</v>
      </c>
      <c r="K31" s="41"/>
      <c r="L31" s="36">
        <f>L25+L27+L28+L29+L30</f>
        <v>0</v>
      </c>
      <c r="M31" s="41"/>
    </row>
    <row r="32" spans="1:13" x14ac:dyDescent="0.2">
      <c r="A32" s="25" t="s">
        <v>161</v>
      </c>
      <c r="B32" s="26"/>
      <c r="D32" s="26"/>
      <c r="F32" s="26"/>
      <c r="H32" s="26"/>
      <c r="J32" s="26"/>
      <c r="L32" s="26"/>
    </row>
    <row r="33" spans="1:13" x14ac:dyDescent="0.2">
      <c r="A33" s="25" t="s">
        <v>162</v>
      </c>
      <c r="B33" s="26"/>
      <c r="D33" s="26"/>
      <c r="F33" s="26"/>
      <c r="H33" s="26"/>
      <c r="J33" s="26"/>
      <c r="L33" s="26"/>
    </row>
    <row r="34" spans="1:13" x14ac:dyDescent="0.2">
      <c r="A34" s="25" t="s">
        <v>163</v>
      </c>
      <c r="B34" s="26"/>
      <c r="D34" s="26"/>
      <c r="F34" s="26"/>
      <c r="H34" s="26"/>
      <c r="J34" s="26"/>
      <c r="L34" s="26"/>
    </row>
    <row r="35" spans="1:13" x14ac:dyDescent="0.2">
      <c r="A35" s="35" t="s">
        <v>164</v>
      </c>
      <c r="B35" s="36">
        <f>B31+B32+B33+B34</f>
        <v>0</v>
      </c>
      <c r="C35" s="37" t="str">
        <f>IF(OR(B18=0,B18=""),"",B35/B18)</f>
        <v/>
      </c>
      <c r="D35" s="36">
        <f>D31+D32+D33+D34</f>
        <v>0</v>
      </c>
      <c r="E35" s="37" t="str">
        <f>IF(OR(D18=0,D18=""),"",D35/D18)</f>
        <v/>
      </c>
      <c r="F35" s="36">
        <f>F31+F32+F33+F34</f>
        <v>0</v>
      </c>
      <c r="G35" s="37" t="str">
        <f>IF(OR(F18=0,F18=""),"",F35/F18)</f>
        <v/>
      </c>
      <c r="H35" s="36">
        <f>H31+H32+H33+H34</f>
        <v>0</v>
      </c>
      <c r="I35" s="37" t="str">
        <f>IF(OR(H18=0,H18=""),"",H35/H18)</f>
        <v/>
      </c>
      <c r="J35" s="36">
        <f>J31+J32+J33+J34</f>
        <v>0</v>
      </c>
      <c r="K35" s="37" t="str">
        <f>IF(OR(J18=0,J18=""),"",J35/J18)</f>
        <v/>
      </c>
      <c r="L35" s="36">
        <f>L31+L32+L33+L34</f>
        <v>0</v>
      </c>
      <c r="M35" s="37" t="str">
        <f>IF(OR(L18=0,L18=""),"",L35/L18)</f>
        <v/>
      </c>
    </row>
    <row r="36" spans="1:13" x14ac:dyDescent="0.2">
      <c r="A36" s="23" t="s">
        <v>165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13" x14ac:dyDescent="0.2">
      <c r="A37" s="25" t="s">
        <v>166</v>
      </c>
      <c r="B37" s="26"/>
      <c r="C37" s="31" t="str">
        <f>IF(OR(B18=0,B18=""),"",B37/B18)</f>
        <v/>
      </c>
      <c r="D37" s="26"/>
      <c r="E37" s="31" t="str">
        <f>IF(OR(D18=0,D18=""),"",D37/D18)</f>
        <v/>
      </c>
      <c r="F37" s="26"/>
      <c r="G37" s="31" t="str">
        <f>IF(OR(F18=0,F18=""),"",F37/F18)</f>
        <v/>
      </c>
      <c r="H37" s="26"/>
      <c r="I37" s="31" t="str">
        <f>IF(OR(H18=0,H18=""),"",H37/H18)</f>
        <v/>
      </c>
      <c r="J37" s="26"/>
      <c r="K37" s="31" t="str">
        <f>IF(OR(J18=0,J18=""),"",J37/J18)</f>
        <v/>
      </c>
      <c r="L37" s="26"/>
      <c r="M37" s="31" t="str">
        <f>IF(OR(L18=0,L18=""),"",L37/L18)</f>
        <v/>
      </c>
    </row>
    <row r="38" spans="1:13" x14ac:dyDescent="0.2">
      <c r="A38" s="25" t="s">
        <v>167</v>
      </c>
      <c r="B38" s="26"/>
      <c r="C38" s="31" t="str">
        <f>IF(OR(B18=0,B18=""),"",B38/B18)</f>
        <v/>
      </c>
      <c r="D38" s="26"/>
      <c r="E38" s="31" t="str">
        <f>IF(OR(D18=0,D18=""),"",D38/D18)</f>
        <v/>
      </c>
      <c r="F38" s="26"/>
      <c r="G38" s="31" t="str">
        <f>IF(OR(F18=0,F18=""),"",F38/F18)</f>
        <v/>
      </c>
      <c r="H38" s="26"/>
      <c r="I38" s="31" t="str">
        <f>IF(OR(H18=0,H18=""),"",H38/H18)</f>
        <v/>
      </c>
      <c r="J38" s="26"/>
      <c r="K38" s="31" t="str">
        <f>IF(OR(J18=0,J18=""),"",J38/J18)</f>
        <v/>
      </c>
      <c r="L38" s="26"/>
      <c r="M38" s="31" t="str">
        <f>IF(OR(L18=0,L18=""),"",L38/L18)</f>
        <v/>
      </c>
    </row>
    <row r="39" spans="1:13" x14ac:dyDescent="0.2">
      <c r="A39" s="25" t="s">
        <v>168</v>
      </c>
      <c r="B39" s="26"/>
      <c r="C39" s="31" t="str">
        <f>IF(OR(B18=0,B18=""),"",B39/B18)</f>
        <v/>
      </c>
      <c r="D39" s="26"/>
      <c r="E39" s="31" t="str">
        <f>IF(OR(D18=0,D18=""),"",D39/D18)</f>
        <v/>
      </c>
      <c r="F39" s="26"/>
      <c r="G39" s="31" t="str">
        <f>IF(OR(F18=0,F18=""),"",F39/F18)</f>
        <v/>
      </c>
      <c r="H39" s="26"/>
      <c r="I39" s="31" t="str">
        <f>IF(OR(H18=0,H18=""),"",H39/H18)</f>
        <v/>
      </c>
      <c r="J39" s="26"/>
      <c r="K39" s="31" t="str">
        <f>IF(OR(J18=0,J18=""),"",J39/J18)</f>
        <v/>
      </c>
      <c r="L39" s="26"/>
      <c r="M39" s="31" t="str">
        <f>IF(OR(L18=0,L18=""),"",L39/L18)</f>
        <v/>
      </c>
    </row>
    <row r="40" spans="1:13" x14ac:dyDescent="0.2">
      <c r="A40" s="35" t="s">
        <v>169</v>
      </c>
      <c r="B40" s="36">
        <f>B37+B38+B39</f>
        <v>0</v>
      </c>
      <c r="C40" s="37" t="str">
        <f>IF(OR(B18=0,B18=""),"",B40/B18)</f>
        <v/>
      </c>
      <c r="D40" s="36">
        <f>D37+D38+D39</f>
        <v>0</v>
      </c>
      <c r="E40" s="37" t="str">
        <f>IF(OR(D18=0,D18=""),"",D40/D18)</f>
        <v/>
      </c>
      <c r="F40" s="36">
        <f>F37+F38+F39</f>
        <v>0</v>
      </c>
      <c r="G40" s="37" t="str">
        <f>IF(OR(F18=0,F18=""),"",F40/F18)</f>
        <v/>
      </c>
      <c r="H40" s="36">
        <f>H37+H38+H39</f>
        <v>0</v>
      </c>
      <c r="I40" s="37" t="str">
        <f>IF(OR(H18=0,H18=""),"",H40/H18)</f>
        <v/>
      </c>
      <c r="J40" s="36">
        <f>J37+J38+J39</f>
        <v>0</v>
      </c>
      <c r="K40" s="37" t="str">
        <f>IF(OR(J18=0,J18=""),"",J40/J18)</f>
        <v/>
      </c>
      <c r="L40" s="36">
        <f>L37+L38+L39</f>
        <v>0</v>
      </c>
      <c r="M40" s="37" t="str">
        <f>IF(OR(L18=0,L18=""),"",L40/L18)</f>
        <v/>
      </c>
    </row>
    <row r="41" spans="1:13" x14ac:dyDescent="0.2">
      <c r="A41" s="35" t="s">
        <v>170</v>
      </c>
      <c r="B41" s="36">
        <f>B35+B40</f>
        <v>0</v>
      </c>
      <c r="C41" s="37" t="str">
        <f>IF(OR(B18=0,B18=""),"",B41/B18)</f>
        <v/>
      </c>
      <c r="D41" s="36">
        <f>D35+D40</f>
        <v>0</v>
      </c>
      <c r="E41" s="37" t="str">
        <f>IF(OR(D18=0,D18=""),"",D41/D18)</f>
        <v/>
      </c>
      <c r="F41" s="36">
        <f>F35+F40</f>
        <v>0</v>
      </c>
      <c r="G41" s="37" t="str">
        <f>IF(OR(F18=0,F18=""),"",F41/F18)</f>
        <v/>
      </c>
      <c r="H41" s="36">
        <f>H35+H40</f>
        <v>0</v>
      </c>
      <c r="I41" s="37" t="str">
        <f>IF(OR(H18=0,H18=""),"",H41/H18)</f>
        <v/>
      </c>
      <c r="J41" s="36">
        <f>J35+J40</f>
        <v>0</v>
      </c>
      <c r="K41" s="37" t="str">
        <f>IF(OR(J18=0,J18=""),"",J41/J18)</f>
        <v/>
      </c>
      <c r="L41" s="36">
        <f>L35+L40</f>
        <v>0</v>
      </c>
      <c r="M41" s="37" t="str">
        <f>IF(OR(L18=0,L18=""),"",L41/L18)</f>
        <v/>
      </c>
    </row>
    <row r="42" spans="1:13" x14ac:dyDescent="0.2">
      <c r="A42" s="23" t="s">
        <v>171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1:13" x14ac:dyDescent="0.2">
      <c r="A43" s="25" t="s">
        <v>310</v>
      </c>
      <c r="B43" s="26"/>
      <c r="C43" s="31" t="str">
        <f>IF(OR(B18=0,B18=""),"",B43/B18)</f>
        <v/>
      </c>
      <c r="D43" s="26"/>
      <c r="E43" s="31" t="str">
        <f>IF(OR(D18=0,D18=""),"",D43/D18)</f>
        <v/>
      </c>
      <c r="F43" s="26"/>
      <c r="G43" s="31" t="str">
        <f>IF(OR(F18=0,F18=""),"",F43/F18)</f>
        <v/>
      </c>
      <c r="H43" s="26"/>
      <c r="I43" s="31" t="str">
        <f>IF(OR(H18=0,H18=""),"",H43/H18)</f>
        <v/>
      </c>
      <c r="J43" s="26"/>
      <c r="K43" s="31" t="str">
        <f>IF(OR(J18=0,J18=""),"",J43/J18)</f>
        <v/>
      </c>
      <c r="L43" s="26"/>
      <c r="M43" s="31" t="str">
        <f>IF(OR(L18=0,L18=""),"",L43/L18)</f>
        <v/>
      </c>
    </row>
    <row r="44" spans="1:13" x14ac:dyDescent="0.2">
      <c r="A44" s="25" t="s">
        <v>311</v>
      </c>
      <c r="B44" s="26"/>
      <c r="C44" s="31" t="str">
        <f>IF(OR(B18=0,B18=""),"",B44/B18)</f>
        <v/>
      </c>
      <c r="D44" s="26"/>
      <c r="E44" s="31" t="str">
        <f>IF(OR(D18=0,D18=""),"",D44/D18)</f>
        <v/>
      </c>
      <c r="F44" s="26"/>
      <c r="G44" s="31" t="str">
        <f>IF(OR(F18=0,F18=""),"",F44/F18)</f>
        <v/>
      </c>
      <c r="H44" s="26"/>
      <c r="I44" s="31" t="str">
        <f>IF(OR(H18=0,H18=""),"",H44/H18)</f>
        <v/>
      </c>
      <c r="J44" s="26"/>
      <c r="K44" s="31" t="str">
        <f>IF(OR(J18=0,J18=""),"",J44/J18)</f>
        <v/>
      </c>
      <c r="L44" s="26"/>
      <c r="M44" s="31" t="str">
        <f>IF(OR(L18=0,L18=""),"",L44/L18)</f>
        <v/>
      </c>
    </row>
    <row r="45" spans="1:13" x14ac:dyDescent="0.2">
      <c r="A45" s="25" t="s">
        <v>172</v>
      </c>
      <c r="B45" s="26"/>
      <c r="C45" s="31" t="str">
        <f>IF(OR(B18=0,B18=""),"",B45/B18)</f>
        <v/>
      </c>
      <c r="D45" s="26"/>
      <c r="E45" s="31" t="str">
        <f>IF(OR(D18=0,D18=""),"",D45/D18)</f>
        <v/>
      </c>
      <c r="F45" s="26"/>
      <c r="G45" s="31" t="str">
        <f>IF(OR(F18=0,F18=""),"",F45/F18)</f>
        <v/>
      </c>
      <c r="H45" s="26"/>
      <c r="I45" s="31" t="str">
        <f>IF(OR(H18=0,H18=""),"",H45/H18)</f>
        <v/>
      </c>
      <c r="J45" s="26"/>
      <c r="K45" s="31" t="str">
        <f>IF(OR(J18=0,J18=""),"",J45/J18)</f>
        <v/>
      </c>
      <c r="L45" s="26"/>
      <c r="M45" s="31" t="str">
        <f>IF(OR(L18=0,L18=""),"",L45/L18)</f>
        <v/>
      </c>
    </row>
    <row r="46" spans="1:13" x14ac:dyDescent="0.2">
      <c r="A46" s="25" t="s">
        <v>173</v>
      </c>
      <c r="B46" s="26"/>
      <c r="C46" s="31" t="str">
        <f>IF(OR(B18=0,B18=""),"",B46/B18)</f>
        <v/>
      </c>
      <c r="D46" s="26"/>
      <c r="E46" s="31" t="str">
        <f>IF(OR(D18=0,D18=""),"",D46/D18)</f>
        <v/>
      </c>
      <c r="F46" s="26"/>
      <c r="G46" s="31" t="str">
        <f>IF(OR(F18=0,F18=""),"",F46/F18)</f>
        <v/>
      </c>
      <c r="H46" s="26"/>
      <c r="I46" s="31" t="str">
        <f>IF(OR(H18=0,H18=""),"",H46/H18)</f>
        <v/>
      </c>
      <c r="J46" s="26"/>
      <c r="K46" s="31" t="str">
        <f>IF(OR(J18=0,J18=""),"",J46/J18)</f>
        <v/>
      </c>
      <c r="L46" s="26"/>
      <c r="M46" s="31" t="str">
        <f>IF(OR(L18=0,L18=""),"",L46/L18)</f>
        <v/>
      </c>
    </row>
    <row r="47" spans="1:13" x14ac:dyDescent="0.2">
      <c r="A47" s="25" t="s">
        <v>178</v>
      </c>
      <c r="B47" s="26"/>
      <c r="C47" s="31" t="str">
        <f>IF(OR(B18=0,B18=""),"",B47/B18)</f>
        <v/>
      </c>
      <c r="D47" s="26"/>
      <c r="E47" s="31" t="str">
        <f>IF(OR(D18=0,D18=""),"",D47/D18)</f>
        <v/>
      </c>
      <c r="F47" s="26"/>
      <c r="G47" s="31" t="str">
        <f>IF(OR(F18=0,F18=""),"",F47/F18)</f>
        <v/>
      </c>
      <c r="H47" s="26"/>
      <c r="I47" s="31" t="str">
        <f>IF(OR(H18=0,H18=""),"",H47/H18)</f>
        <v/>
      </c>
      <c r="J47" s="26"/>
      <c r="K47" s="31" t="str">
        <f>IF(OR(J18=0,J18=""),"",J47/J18)</f>
        <v/>
      </c>
      <c r="L47" s="26"/>
      <c r="M47" s="31" t="str">
        <f>IF(OR(L18=0,L18=""),"",L47/L18)</f>
        <v/>
      </c>
    </row>
    <row r="48" spans="1:13" x14ac:dyDescent="0.2">
      <c r="A48" s="25" t="s">
        <v>179</v>
      </c>
      <c r="B48" s="26"/>
      <c r="C48" s="31" t="str">
        <f>IF(OR(B18=0,B18=""),"",B48/B18)</f>
        <v/>
      </c>
      <c r="D48" s="26"/>
      <c r="E48" s="31" t="str">
        <f>IF(OR(D18=0,D18=""),"",D48/D18)</f>
        <v/>
      </c>
      <c r="F48" s="26"/>
      <c r="G48" s="31" t="str">
        <f>IF(OR(F18=0,F18=""),"",F48/F18)</f>
        <v/>
      </c>
      <c r="H48" s="26"/>
      <c r="I48" s="31" t="str">
        <f>IF(OR(H18=0,H18=""),"",H48/H18)</f>
        <v/>
      </c>
      <c r="J48" s="26"/>
      <c r="K48" s="31" t="str">
        <f>IF(OR(J18=0,J18=""),"",J48/J18)</f>
        <v/>
      </c>
      <c r="L48" s="26"/>
      <c r="M48" s="31" t="str">
        <f>IF(OR(L18=0,L18=""),"",L48/L18)</f>
        <v/>
      </c>
    </row>
    <row r="49" spans="1:13" x14ac:dyDescent="0.2">
      <c r="A49" s="25" t="s">
        <v>180</v>
      </c>
      <c r="B49" s="26"/>
      <c r="C49" s="31" t="str">
        <f>IF(OR(B18=0,B18=""),"",B49/B18)</f>
        <v/>
      </c>
      <c r="D49" s="26"/>
      <c r="E49" s="31" t="str">
        <f>IF(OR(D18=0,D18=""),"",D49/D18)</f>
        <v/>
      </c>
      <c r="F49" s="26"/>
      <c r="G49" s="31" t="str">
        <f>IF(OR(F18=0,F18=""),"",F49/F18)</f>
        <v/>
      </c>
      <c r="H49" s="26"/>
      <c r="I49" s="31" t="str">
        <f>IF(OR(H18=0,H18=""),"",H49/H18)</f>
        <v/>
      </c>
      <c r="J49" s="26"/>
      <c r="K49" s="31" t="str">
        <f>IF(OR(J18=0,J18=""),"",J49/J18)</f>
        <v/>
      </c>
      <c r="L49" s="26"/>
      <c r="M49" s="31" t="str">
        <f>IF(OR(L18=0,L18=""),"",L49/L18)</f>
        <v/>
      </c>
    </row>
    <row r="50" spans="1:13" x14ac:dyDescent="0.2">
      <c r="A50" s="25" t="s">
        <v>181</v>
      </c>
      <c r="B50" s="26"/>
      <c r="C50" s="31" t="str">
        <f>IF(OR(B18=0,B18=""),"",B50/B18)</f>
        <v/>
      </c>
      <c r="D50" s="26"/>
      <c r="E50" s="31" t="str">
        <f>IF(OR(D18=0,D18=""),"",D50/D18)</f>
        <v/>
      </c>
      <c r="F50" s="26"/>
      <c r="G50" s="31" t="str">
        <f>IF(OR(F18=0,F18=""),"",F50/F18)</f>
        <v/>
      </c>
      <c r="H50" s="26"/>
      <c r="I50" s="31" t="str">
        <f>IF(OR(H18=0,H18=""),"",H50/H18)</f>
        <v/>
      </c>
      <c r="J50" s="26"/>
      <c r="K50" s="31" t="str">
        <f>IF(OR(J18=0,J18=""),"",J50/J18)</f>
        <v/>
      </c>
      <c r="L50" s="26"/>
      <c r="M50" s="31" t="str">
        <f>IF(OR(L18=0,L18=""),"",L50/L18)</f>
        <v/>
      </c>
    </row>
    <row r="51" spans="1:13" x14ac:dyDescent="0.2">
      <c r="A51" s="25" t="s">
        <v>182</v>
      </c>
      <c r="B51" s="26"/>
      <c r="C51" s="31" t="str">
        <f>IF(OR(B18=0,B18=""),"",B51/B18)</f>
        <v/>
      </c>
      <c r="D51" s="26"/>
      <c r="E51" s="31" t="str">
        <f>IF(OR(D18=0,D18=""),"",D51/D18)</f>
        <v/>
      </c>
      <c r="F51" s="26"/>
      <c r="G51" s="31" t="str">
        <f>IF(OR(F18=0,F18=""),"",F51/F18)</f>
        <v/>
      </c>
      <c r="H51" s="26"/>
      <c r="I51" s="31" t="str">
        <f>IF(OR(H18=0,H18=""),"",H51/H18)</f>
        <v/>
      </c>
      <c r="J51" s="26"/>
      <c r="K51" s="31" t="str">
        <f>IF(OR(J18=0,J18=""),"",J51/J18)</f>
        <v/>
      </c>
      <c r="L51" s="26"/>
      <c r="M51" s="31" t="str">
        <f>IF(OR(L18=0,L18=""),"",L51/L18)</f>
        <v/>
      </c>
    </row>
    <row r="52" spans="1:13" x14ac:dyDescent="0.2">
      <c r="A52" s="25" t="s">
        <v>183</v>
      </c>
      <c r="B52" s="26"/>
      <c r="C52" s="31" t="str">
        <f>IF(OR(B18=0,B18=""),"",B52/B18)</f>
        <v/>
      </c>
      <c r="D52" s="26"/>
      <c r="E52" s="31" t="str">
        <f>IF(OR(D18=0,D18=""),"",D52/D18)</f>
        <v/>
      </c>
      <c r="F52" s="26"/>
      <c r="G52" s="31" t="str">
        <f>IF(OR(F18=0,F18=""),"",F52/F18)</f>
        <v/>
      </c>
      <c r="H52" s="26"/>
      <c r="I52" s="31" t="str">
        <f>IF(OR(H18=0,H18=""),"",H52/H18)</f>
        <v/>
      </c>
      <c r="J52" s="26"/>
      <c r="K52" s="31" t="str">
        <f>IF(OR(J18=0,J18=""),"",J52/J18)</f>
        <v/>
      </c>
      <c r="L52" s="26"/>
      <c r="M52" s="31" t="str">
        <f>IF(OR(L18=0,L18=""),"",L52/L18)</f>
        <v/>
      </c>
    </row>
    <row r="53" spans="1:13" x14ac:dyDescent="0.2">
      <c r="A53" s="25" t="s">
        <v>184</v>
      </c>
      <c r="B53" s="26"/>
      <c r="C53" s="31" t="str">
        <f>IF(OR(B18=0,B18=""),"",B53/B18)</f>
        <v/>
      </c>
      <c r="D53" s="26"/>
      <c r="E53" s="31" t="str">
        <f>IF(OR(D18=0,D18=""),"",D53/D18)</f>
        <v/>
      </c>
      <c r="F53" s="26"/>
      <c r="G53" s="31" t="str">
        <f>IF(OR(F18=0,F18=""),"",F53/F18)</f>
        <v/>
      </c>
      <c r="H53" s="26"/>
      <c r="I53" s="31" t="str">
        <f>IF(OR(H18=0,H18=""),"",H53/H18)</f>
        <v/>
      </c>
      <c r="J53" s="26"/>
      <c r="K53" s="31" t="str">
        <f>IF(OR(J18=0,J18=""),"",J53/J18)</f>
        <v/>
      </c>
      <c r="L53" s="26"/>
      <c r="M53" s="31" t="str">
        <f>IF(OR(L18=0,L18=""),"",L53/L18)</f>
        <v/>
      </c>
    </row>
    <row r="54" spans="1:13" x14ac:dyDescent="0.2">
      <c r="A54" s="25" t="s">
        <v>312</v>
      </c>
      <c r="B54" s="26"/>
      <c r="C54" s="31" t="str">
        <f>IF(OR(B18=0,B18=""),"",B54/B18)</f>
        <v/>
      </c>
      <c r="D54" s="26"/>
      <c r="E54" s="31" t="str">
        <f>IF(OR(D18=0,D18=""),"",D54/D18)</f>
        <v/>
      </c>
      <c r="F54" s="26"/>
      <c r="G54" s="31" t="str">
        <f>IF(OR(F18=0,F18=""),"",F54/F18)</f>
        <v/>
      </c>
      <c r="H54" s="26"/>
      <c r="I54" s="31" t="str">
        <f>IF(OR(H18=0,H18=""),"",H54/H18)</f>
        <v/>
      </c>
      <c r="J54" s="26"/>
      <c r="K54" s="31" t="str">
        <f>IF(OR(J18=0,J18=""),"",J54/J18)</f>
        <v/>
      </c>
      <c r="L54" s="26"/>
      <c r="M54" s="31" t="str">
        <f>IF(OR(L18=0,L18=""),"",L54/L18)</f>
        <v/>
      </c>
    </row>
    <row r="55" spans="1:13" x14ac:dyDescent="0.2">
      <c r="A55" s="25" t="s">
        <v>188</v>
      </c>
      <c r="B55" s="26"/>
      <c r="C55" s="31" t="str">
        <f>IF(OR(B18=0,B18=""),"",B55/B18)</f>
        <v/>
      </c>
      <c r="D55" s="26"/>
      <c r="E55" s="31" t="str">
        <f>IF(OR(D18=0,D18=""),"",D55/D18)</f>
        <v/>
      </c>
      <c r="F55" s="26"/>
      <c r="G55" s="31" t="str">
        <f>IF(OR(F18=0,F18=""),"",F55/F18)</f>
        <v/>
      </c>
      <c r="H55" s="26"/>
      <c r="I55" s="31" t="str">
        <f>IF(OR(H18=0,H18=""),"",H55/H18)</f>
        <v/>
      </c>
      <c r="J55" s="26"/>
      <c r="K55" s="31" t="str">
        <f>IF(OR(J18=0,J18=""),"",J55/J18)</f>
        <v/>
      </c>
      <c r="L55" s="26"/>
      <c r="M55" s="31" t="str">
        <f>IF(OR(L18=0,L18=""),"",L55/L18)</f>
        <v/>
      </c>
    </row>
    <row r="56" spans="1:13" x14ac:dyDescent="0.2">
      <c r="A56" s="25" t="s">
        <v>189</v>
      </c>
      <c r="B56" s="26"/>
      <c r="C56" s="31" t="str">
        <f>IF(OR(B18=0,B18=""),"",B56/B18)</f>
        <v/>
      </c>
      <c r="D56" s="26"/>
      <c r="E56" s="31" t="str">
        <f>IF(OR(D18=0,D18=""),"",D56/D18)</f>
        <v/>
      </c>
      <c r="F56" s="26"/>
      <c r="G56" s="31" t="str">
        <f>IF(OR(F18=0,F18=""),"",F56/F18)</f>
        <v/>
      </c>
      <c r="H56" s="26"/>
      <c r="I56" s="31" t="str">
        <f>IF(OR(H18=0,H18=""),"",H56/H18)</f>
        <v/>
      </c>
      <c r="J56" s="26"/>
      <c r="K56" s="31" t="str">
        <f>IF(OR(J18=0,J18=""),"",J56/J18)</f>
        <v/>
      </c>
      <c r="L56" s="26"/>
      <c r="M56" s="31" t="str">
        <f>IF(OR(L18=0,L18=""),"",L56/L18)</f>
        <v/>
      </c>
    </row>
    <row r="57" spans="1:13" x14ac:dyDescent="0.2">
      <c r="A57" s="25" t="s">
        <v>190</v>
      </c>
      <c r="B57" s="26"/>
      <c r="C57" s="31" t="str">
        <f>IF(OR(B18=0,B18=""),"",B57/B18)</f>
        <v/>
      </c>
      <c r="D57" s="26"/>
      <c r="E57" s="31" t="str">
        <f>IF(OR(D18=0,D18=""),"",D57/D18)</f>
        <v/>
      </c>
      <c r="F57" s="26"/>
      <c r="G57" s="31" t="str">
        <f>IF(OR(F18=0,F18=""),"",F57/F18)</f>
        <v/>
      </c>
      <c r="H57" s="26"/>
      <c r="I57" s="31" t="str">
        <f>IF(OR(H18=0,H18=""),"",H57/H18)</f>
        <v/>
      </c>
      <c r="J57" s="26"/>
      <c r="K57" s="31" t="str">
        <f>IF(OR(J18=0,J18=""),"",J57/J18)</f>
        <v/>
      </c>
      <c r="L57" s="26"/>
      <c r="M57" s="31" t="str">
        <f>IF(OR(L18=0,L18=""),"",L57/L18)</f>
        <v/>
      </c>
    </row>
    <row r="58" spans="1:13" x14ac:dyDescent="0.2">
      <c r="A58" s="25" t="s">
        <v>106</v>
      </c>
      <c r="B58" s="26"/>
      <c r="C58" s="31" t="str">
        <f>IF(OR(B18=0,B18=""),"",B58/B18)</f>
        <v/>
      </c>
      <c r="D58" s="26"/>
      <c r="E58" s="31" t="str">
        <f>IF(OR(D18=0,D18=""),"",D58/D18)</f>
        <v/>
      </c>
      <c r="F58" s="26"/>
      <c r="G58" s="31" t="str">
        <f>IF(OR(F18=0,F18=""),"",F58/F18)</f>
        <v/>
      </c>
      <c r="H58" s="26"/>
      <c r="I58" s="31" t="str">
        <f>IF(OR(H18=0,H18=""),"",H58/H18)</f>
        <v/>
      </c>
      <c r="J58" s="26"/>
      <c r="K58" s="31" t="str">
        <f>IF(OR(J18=0,J18=""),"",J58/J18)</f>
        <v/>
      </c>
      <c r="L58" s="26"/>
      <c r="M58" s="31" t="str">
        <f>IF(OR(L18=0,L18=""),"",L58/L18)</f>
        <v/>
      </c>
    </row>
    <row r="59" spans="1:13" x14ac:dyDescent="0.2">
      <c r="A59" s="25" t="s">
        <v>191</v>
      </c>
      <c r="B59" s="26"/>
      <c r="C59" s="31" t="str">
        <f>IF(OR(B18=0,B18=""),"",B59/B18)</f>
        <v/>
      </c>
      <c r="D59" s="26"/>
      <c r="E59" s="31" t="str">
        <f>IF(OR(D18=0,D18=""),"",D59/D18)</f>
        <v/>
      </c>
      <c r="F59" s="26"/>
      <c r="G59" s="31" t="str">
        <f>IF(OR(F18=0,F18=""),"",F59/F18)</f>
        <v/>
      </c>
      <c r="H59" s="26"/>
      <c r="I59" s="31" t="str">
        <f>IF(OR(H18=0,H18=""),"",H59/H18)</f>
        <v/>
      </c>
      <c r="J59" s="26"/>
      <c r="K59" s="31" t="str">
        <f>IF(OR(J18=0,J18=""),"",J59/J18)</f>
        <v/>
      </c>
      <c r="L59" s="26"/>
      <c r="M59" s="31" t="str">
        <f>IF(OR(L18=0,L18=""),"",L59/L18)</f>
        <v/>
      </c>
    </row>
    <row r="60" spans="1:13" x14ac:dyDescent="0.2">
      <c r="A60" s="25" t="s">
        <v>192</v>
      </c>
      <c r="B60" s="26"/>
      <c r="C60" s="31" t="str">
        <f>IF(OR(B18=0,B18=""),"",B60/B18)</f>
        <v/>
      </c>
      <c r="D60" s="26"/>
      <c r="E60" s="31" t="str">
        <f>IF(OR(D18=0,D18=""),"",D60/D18)</f>
        <v/>
      </c>
      <c r="F60" s="26"/>
      <c r="G60" s="31" t="str">
        <f>IF(OR(F18=0,F18=""),"",F60/F18)</f>
        <v/>
      </c>
      <c r="H60" s="26"/>
      <c r="I60" s="31" t="str">
        <f>IF(OR(H18=0,H18=""),"",H60/H18)</f>
        <v/>
      </c>
      <c r="J60" s="26"/>
      <c r="K60" s="31" t="str">
        <f>IF(OR(J18=0,J18=""),"",J60/J18)</f>
        <v/>
      </c>
      <c r="L60" s="26"/>
      <c r="M60" s="31" t="str">
        <f>IF(OR(L18=0,L18=""),"",L60/L18)</f>
        <v/>
      </c>
    </row>
    <row r="61" spans="1:13" x14ac:dyDescent="0.2">
      <c r="A61" s="25" t="s">
        <v>194</v>
      </c>
      <c r="B61" s="26"/>
      <c r="C61" s="31" t="str">
        <f>IF(OR(B18=0,B18=""),"",B61/B18)</f>
        <v/>
      </c>
      <c r="D61" s="26"/>
      <c r="E61" s="31" t="str">
        <f>IF(OR(D18=0,D18=""),"",D61/D18)</f>
        <v/>
      </c>
      <c r="F61" s="26"/>
      <c r="G61" s="31" t="str">
        <f>IF(OR(F18=0,F18=""),"",F61/F18)</f>
        <v/>
      </c>
      <c r="H61" s="26"/>
      <c r="I61" s="31" t="str">
        <f>IF(OR(H18=0,H18=""),"",H61/H18)</f>
        <v/>
      </c>
      <c r="J61" s="26"/>
      <c r="K61" s="31" t="str">
        <f>IF(OR(J18=0,J18=""),"",J61/J18)</f>
        <v/>
      </c>
      <c r="L61" s="26"/>
      <c r="M61" s="31" t="str">
        <f>IF(OR(L18=0,L18=""),"",L61/L18)</f>
        <v/>
      </c>
    </row>
    <row r="62" spans="1:13" x14ac:dyDescent="0.2">
      <c r="A62" s="25" t="s">
        <v>195</v>
      </c>
      <c r="B62" s="26"/>
      <c r="C62" s="31" t="str">
        <f>IF(OR(B18=0,B18=""),"",B62/B18)</f>
        <v/>
      </c>
      <c r="D62" s="26"/>
      <c r="E62" s="31" t="str">
        <f>IF(OR(D18=0,D18=""),"",D62/D18)</f>
        <v/>
      </c>
      <c r="F62" s="26"/>
      <c r="G62" s="31" t="str">
        <f>IF(OR(F18=0,F18=""),"",F62/F18)</f>
        <v/>
      </c>
      <c r="H62" s="26"/>
      <c r="I62" s="31" t="str">
        <f>IF(OR(H18=0,H18=""),"",H62/H18)</f>
        <v/>
      </c>
      <c r="J62" s="26"/>
      <c r="K62" s="31" t="str">
        <f>IF(OR(J18=0,J18=""),"",J62/J18)</f>
        <v/>
      </c>
      <c r="L62" s="26"/>
      <c r="M62" s="31" t="str">
        <f>IF(OR(L18=0,L18=""),"",L62/L18)</f>
        <v/>
      </c>
    </row>
    <row r="63" spans="1:13" x14ac:dyDescent="0.2">
      <c r="A63" s="25" t="s">
        <v>196</v>
      </c>
      <c r="B63" s="26"/>
      <c r="C63" s="31" t="str">
        <f>IF(OR(B18=0,B18=""),"",B63/B18)</f>
        <v/>
      </c>
      <c r="D63" s="26"/>
      <c r="E63" s="31" t="str">
        <f>IF(OR(D18=0,D18=""),"",D63/D18)</f>
        <v/>
      </c>
      <c r="F63" s="26"/>
      <c r="G63" s="31" t="str">
        <f>IF(OR(F18=0,F18=""),"",F63/F18)</f>
        <v/>
      </c>
      <c r="H63" s="26"/>
      <c r="I63" s="31" t="str">
        <f>IF(OR(H18=0,H18=""),"",H63/H18)</f>
        <v/>
      </c>
      <c r="J63" s="26"/>
      <c r="K63" s="31" t="str">
        <f>IF(OR(J18=0,J18=""),"",J63/J18)</f>
        <v/>
      </c>
      <c r="L63" s="26"/>
      <c r="M63" s="31" t="str">
        <f>IF(OR(L18=0,L18=""),"",L63/L18)</f>
        <v/>
      </c>
    </row>
    <row r="64" spans="1:13" x14ac:dyDescent="0.2">
      <c r="A64" s="25" t="s">
        <v>313</v>
      </c>
      <c r="B64" s="26"/>
      <c r="C64" s="31" t="str">
        <f>IF(OR(B18=0,B18=""),"",B64/B18)</f>
        <v/>
      </c>
      <c r="D64" s="26"/>
      <c r="E64" s="31" t="str">
        <f>IF(OR(D18=0,D18=""),"",D64/D18)</f>
        <v/>
      </c>
      <c r="F64" s="26"/>
      <c r="G64" s="31" t="str">
        <f>IF(OR(F18=0,F18=""),"",F64/F18)</f>
        <v/>
      </c>
      <c r="H64" s="26"/>
      <c r="I64" s="31" t="str">
        <f>IF(OR(H18=0,H18=""),"",H64/H18)</f>
        <v/>
      </c>
      <c r="J64" s="26"/>
      <c r="K64" s="31" t="str">
        <f>IF(OR(J18=0,J18=""),"",J64/J18)</f>
        <v/>
      </c>
      <c r="L64" s="26"/>
      <c r="M64" s="31" t="str">
        <f>IF(OR(L18=0,L18=""),"",L64/L18)</f>
        <v/>
      </c>
    </row>
    <row r="65" spans="1:13" x14ac:dyDescent="0.2">
      <c r="A65" s="25" t="s">
        <v>197</v>
      </c>
      <c r="B65" s="26"/>
      <c r="C65" s="31" t="str">
        <f>IF(OR(B18=0,B18=""),"",B65/B18)</f>
        <v/>
      </c>
      <c r="D65" s="26"/>
      <c r="E65" s="31" t="str">
        <f>IF(OR(D18=0,D18=""),"",D65/D18)</f>
        <v/>
      </c>
      <c r="F65" s="26"/>
      <c r="G65" s="31" t="str">
        <f>IF(OR(F18=0,F18=""),"",F65/F18)</f>
        <v/>
      </c>
      <c r="H65" s="26"/>
      <c r="I65" s="31" t="str">
        <f>IF(OR(H18=0,H18=""),"",H65/H18)</f>
        <v/>
      </c>
      <c r="J65" s="26"/>
      <c r="K65" s="31" t="str">
        <f>IF(OR(J18=0,J18=""),"",J65/J18)</f>
        <v/>
      </c>
      <c r="L65" s="26"/>
      <c r="M65" s="31" t="str">
        <f>IF(OR(L18=0,L18=""),"",L65/L18)</f>
        <v/>
      </c>
    </row>
    <row r="66" spans="1:13" x14ac:dyDescent="0.2">
      <c r="A66" s="25" t="s">
        <v>198</v>
      </c>
      <c r="B66" s="26"/>
      <c r="C66" s="31" t="str">
        <f>IF(OR(B18=0,B18=""),"",B66/B18)</f>
        <v/>
      </c>
      <c r="D66" s="26"/>
      <c r="E66" s="31" t="str">
        <f>IF(OR(D18=0,D18=""),"",D66/D18)</f>
        <v/>
      </c>
      <c r="F66" s="26"/>
      <c r="G66" s="31" t="str">
        <f>IF(OR(F18=0,F18=""),"",F66/F18)</f>
        <v/>
      </c>
      <c r="H66" s="26"/>
      <c r="I66" s="31" t="str">
        <f>IF(OR(H18=0,H18=""),"",H66/H18)</f>
        <v/>
      </c>
      <c r="J66" s="26"/>
      <c r="K66" s="31" t="str">
        <f>IF(OR(J18=0,J18=""),"",J66/J18)</f>
        <v/>
      </c>
      <c r="L66" s="26"/>
      <c r="M66" s="31" t="str">
        <f>IF(OR(L18=0,L18=""),"",L66/L18)</f>
        <v/>
      </c>
    </row>
    <row r="67" spans="1:13" x14ac:dyDescent="0.2">
      <c r="A67" s="25" t="s">
        <v>199</v>
      </c>
      <c r="B67" s="26"/>
      <c r="C67" s="31" t="str">
        <f>IF(OR(B18=0,B18=""),"",B67/B18)</f>
        <v/>
      </c>
      <c r="D67" s="26"/>
      <c r="E67" s="31" t="str">
        <f>IF(OR(D18=0,D18=""),"",D67/D18)</f>
        <v/>
      </c>
      <c r="F67" s="26"/>
      <c r="G67" s="31" t="str">
        <f>IF(OR(F18=0,F18=""),"",F67/F18)</f>
        <v/>
      </c>
      <c r="H67" s="26"/>
      <c r="I67" s="31" t="str">
        <f>IF(OR(H18=0,H18=""),"",H67/H18)</f>
        <v/>
      </c>
      <c r="J67" s="26"/>
      <c r="K67" s="31" t="str">
        <f>IF(OR(J18=0,J18=""),"",J67/J18)</f>
        <v/>
      </c>
      <c r="L67" s="26"/>
      <c r="M67" s="31" t="str">
        <f>IF(OR(L18=0,L18=""),"",L67/L18)</f>
        <v/>
      </c>
    </row>
    <row r="68" spans="1:13" x14ac:dyDescent="0.2">
      <c r="A68" s="25" t="s">
        <v>200</v>
      </c>
      <c r="B68" s="26"/>
      <c r="C68" s="31" t="str">
        <f>IF(OR(B18=0,B18=""),"",B68/B18)</f>
        <v/>
      </c>
      <c r="D68" s="26"/>
      <c r="E68" s="31" t="str">
        <f>IF(OR(D18=0,D18=""),"",D68/D18)</f>
        <v/>
      </c>
      <c r="F68" s="26"/>
      <c r="G68" s="31" t="str">
        <f>IF(OR(F18=0,F18=""),"",F68/F18)</f>
        <v/>
      </c>
      <c r="H68" s="26"/>
      <c r="I68" s="31" t="str">
        <f>IF(OR(H18=0,H18=""),"",H68/H18)</f>
        <v/>
      </c>
      <c r="J68" s="26"/>
      <c r="K68" s="31" t="str">
        <f>IF(OR(J18=0,J18=""),"",J68/J18)</f>
        <v/>
      </c>
      <c r="L68" s="26"/>
      <c r="M68" s="31" t="str">
        <f>IF(OR(L18=0,L18=""),"",L68/L18)</f>
        <v/>
      </c>
    </row>
    <row r="69" spans="1:13" x14ac:dyDescent="0.2">
      <c r="A69" s="25" t="s">
        <v>201</v>
      </c>
      <c r="B69" s="26"/>
      <c r="C69" s="31" t="str">
        <f>IF(OR(B18=0,B18=""),"",B69/B18)</f>
        <v/>
      </c>
      <c r="D69" s="26"/>
      <c r="E69" s="31" t="str">
        <f>IF(OR(D18=0,D18=""),"",D69/D18)</f>
        <v/>
      </c>
      <c r="F69" s="26"/>
      <c r="G69" s="31" t="str">
        <f>IF(OR(F18=0,F18=""),"",F69/F18)</f>
        <v/>
      </c>
      <c r="H69" s="26"/>
      <c r="I69" s="31" t="str">
        <f>IF(OR(H18=0,H18=""),"",H69/H18)</f>
        <v/>
      </c>
      <c r="J69" s="26"/>
      <c r="K69" s="31" t="str">
        <f>IF(OR(J18=0,J18=""),"",J69/J18)</f>
        <v/>
      </c>
      <c r="L69" s="26"/>
      <c r="M69" s="31" t="str">
        <f>IF(OR(L18=0,L18=""),"",L69/L18)</f>
        <v/>
      </c>
    </row>
    <row r="70" spans="1:13" x14ac:dyDescent="0.2">
      <c r="A70" s="35" t="s">
        <v>202</v>
      </c>
      <c r="B70" s="36">
        <f>B43+B44+B45+B46+B47+B48+B49+B50+B51+B52+B53+B54+B55+B56+B57+B58+B59+B60+B61+B62+B63+B64+B65+B66+B67+B68+B69</f>
        <v>0</v>
      </c>
      <c r="C70" s="37" t="str">
        <f>IF(OR(B18=0,B18=""),"",B70/B18)</f>
        <v/>
      </c>
      <c r="D70" s="36">
        <f>D43+D44+D45+D46+D47+D48+D49+D50+D51+D52+D53+D54+D55+D56+D57+D58+D59+D60+D61+D62+D63+D64+D65+D66+D67+D68+D69</f>
        <v>0</v>
      </c>
      <c r="E70" s="37" t="str">
        <f>IF(OR(D18=0,D18=""),"",D70/D18)</f>
        <v/>
      </c>
      <c r="F70" s="36">
        <f>F43+F44+F45+F46+F47+F48+F49+F50+F51+F52+F53+F54+F55+F56+F57+F58+F59+F60+F61+F62+F63+F64+F65+F66+F67+F68+F69</f>
        <v>0</v>
      </c>
      <c r="G70" s="37" t="str">
        <f>IF(OR(F18=0,F18=""),"",F70/F18)</f>
        <v/>
      </c>
      <c r="H70" s="36">
        <f>H43+H44+H45+H46+H47+H48+H49+H50+H51+H52+H53+H54+H55+H56+H57+H58+H59+H60+H61+H62+H63+H64+H65+H66+H67+H68+H69</f>
        <v>0</v>
      </c>
      <c r="I70" s="37" t="str">
        <f>IF(OR(H18=0,H18=""),"",H70/H18)</f>
        <v/>
      </c>
      <c r="J70" s="36">
        <f>J43+J44+J45+J46+J47+J48+J49+J50+J51+J52+J53+J54+J55+J56+J57+J58+J59+J60+J61+J62+J63+J64+J65+J66+J67+J68+J69</f>
        <v>0</v>
      </c>
      <c r="K70" s="37" t="str">
        <f>IF(OR(J18=0,J18=""),"",J70/J18)</f>
        <v/>
      </c>
      <c r="L70" s="36">
        <f>L43+L44+L45+L46+L47+L48+L49+L50+L51+L52+L53+L54+L55+L56+L57+L58+L59+L60+L61+L62+L63+L64+L65+L66+L67+L68+L69</f>
        <v>0</v>
      </c>
      <c r="M70" s="37" t="str">
        <f>IF(OR(L18=0,L18=""),"",L70/L18)</f>
        <v/>
      </c>
    </row>
    <row r="71" spans="1:13" x14ac:dyDescent="0.2">
      <c r="A71" s="32" t="s">
        <v>203</v>
      </c>
      <c r="B71" s="33">
        <f>B41+B70</f>
        <v>0</v>
      </c>
      <c r="C71" s="34" t="str">
        <f>IF(OR(B18=0,B18=""),"",B71/B18)</f>
        <v/>
      </c>
      <c r="D71" s="33">
        <f>D41+D70</f>
        <v>0</v>
      </c>
      <c r="E71" s="34" t="str">
        <f>IF(OR(D18=0,D18=""),"",D71/D18)</f>
        <v/>
      </c>
      <c r="F71" s="33">
        <f>F41+F70</f>
        <v>0</v>
      </c>
      <c r="G71" s="34" t="str">
        <f>IF(OR(F18=0,F18=""),"",F71/F18)</f>
        <v/>
      </c>
      <c r="H71" s="33">
        <f>H41+H70</f>
        <v>0</v>
      </c>
      <c r="I71" s="34" t="str">
        <f>IF(OR(H18=0,H18=""),"",H71/H18)</f>
        <v/>
      </c>
      <c r="J71" s="33">
        <f>J41+J70</f>
        <v>0</v>
      </c>
      <c r="K71" s="34" t="str">
        <f>IF(OR(J18=0,J18=""),"",J71/J18)</f>
        <v/>
      </c>
      <c r="L71" s="33">
        <f>L41+L70</f>
        <v>0</v>
      </c>
      <c r="M71" s="34" t="str">
        <f>IF(OR(L18=0,L18=""),"",L71/L18)</f>
        <v/>
      </c>
    </row>
    <row r="72" spans="1:13" x14ac:dyDescent="0.2">
      <c r="A72" s="38" t="s">
        <v>204</v>
      </c>
      <c r="B72" s="39">
        <f>B20-B70</f>
        <v>0</v>
      </c>
      <c r="C72" s="40" t="str">
        <f>IF(OR(B18=0,B18=""),"",B72/B18)</f>
        <v/>
      </c>
      <c r="D72" s="39">
        <f>D20-D70</f>
        <v>0</v>
      </c>
      <c r="E72" s="40" t="str">
        <f>IF(OR(D18=0,D18=""),"",D72/D18)</f>
        <v/>
      </c>
      <c r="F72" s="39">
        <f>F20-F70</f>
        <v>0</v>
      </c>
      <c r="G72" s="40" t="str">
        <f>IF(OR(F18=0,F18=""),"",F72/F18)</f>
        <v/>
      </c>
      <c r="H72" s="39">
        <f>H20-H70</f>
        <v>0</v>
      </c>
      <c r="I72" s="40" t="str">
        <f>IF(OR(H18=0,H18=""),"",H72/H18)</f>
        <v/>
      </c>
      <c r="J72" s="39">
        <f>J20-J70</f>
        <v>0</v>
      </c>
      <c r="K72" s="40" t="str">
        <f>IF(OR(J18=0,J18=""),"",J72/J18)</f>
        <v/>
      </c>
      <c r="L72" s="39">
        <f>L20-L70</f>
        <v>0</v>
      </c>
      <c r="M72" s="40" t="str">
        <f>IF(OR(L18=0,L18=""),"",L72/L18)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M57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129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315</v>
      </c>
      <c r="B8" s="26"/>
      <c r="C8" s="31" t="str">
        <f>IF(OR(B12=0,B12=""),"",B8/B12)</f>
        <v/>
      </c>
      <c r="D8" s="26"/>
      <c r="E8" s="31" t="str">
        <f>IF(OR(D12=0,D12=""),"",D8/D12)</f>
        <v/>
      </c>
      <c r="F8" s="26"/>
      <c r="G8" s="31" t="str">
        <f>IF(OR(F12=0,F12=""),"",F8/F12)</f>
        <v/>
      </c>
      <c r="H8" s="26"/>
      <c r="I8" s="31" t="str">
        <f>IF(OR(H12=0,H12=""),"",H8/H12)</f>
        <v/>
      </c>
      <c r="J8" s="26"/>
      <c r="K8" s="31" t="str">
        <f>IF(OR(J12=0,J12=""),"",J8/J12)</f>
        <v/>
      </c>
      <c r="L8" s="26"/>
      <c r="M8" s="31" t="str">
        <f>IF(OR(L12=0,L12=""),"",L8/L12)</f>
        <v/>
      </c>
    </row>
    <row r="9" spans="1:13" x14ac:dyDescent="0.2">
      <c r="A9" s="25" t="s">
        <v>316</v>
      </c>
      <c r="B9" s="26"/>
      <c r="C9" s="31" t="str">
        <f>IF(OR(B12=0,B12=""),"",B9/B12)</f>
        <v/>
      </c>
      <c r="D9" s="26"/>
      <c r="E9" s="31" t="str">
        <f>IF(OR(D12=0,D12=""),"",D9/D12)</f>
        <v/>
      </c>
      <c r="F9" s="26"/>
      <c r="G9" s="31" t="str">
        <f>IF(OR(F12=0,F12=""),"",F9/F12)</f>
        <v/>
      </c>
      <c r="H9" s="26"/>
      <c r="I9" s="31" t="str">
        <f>IF(OR(H12=0,H12=""),"",H9/H12)</f>
        <v/>
      </c>
      <c r="J9" s="26"/>
      <c r="K9" s="31" t="str">
        <f>IF(OR(J12=0,J12=""),"",J9/J12)</f>
        <v/>
      </c>
      <c r="L9" s="26"/>
      <c r="M9" s="31" t="str">
        <f>IF(OR(L12=0,L12=""),"",L9/L12)</f>
        <v/>
      </c>
    </row>
    <row r="10" spans="1:13" x14ac:dyDescent="0.2">
      <c r="A10" s="25" t="s">
        <v>222</v>
      </c>
      <c r="B10" s="26"/>
      <c r="C10" s="31" t="str">
        <f>IF(OR(B12=0,B12=""),"",B10/B12)</f>
        <v/>
      </c>
      <c r="D10" s="26"/>
      <c r="E10" s="31" t="str">
        <f>IF(OR(D12=0,D12=""),"",D10/D12)</f>
        <v/>
      </c>
      <c r="F10" s="26"/>
      <c r="G10" s="31" t="str">
        <f>IF(OR(F12=0,F12=""),"",F10/F12)</f>
        <v/>
      </c>
      <c r="H10" s="26"/>
      <c r="I10" s="31" t="str">
        <f>IF(OR(H12=0,H12=""),"",H10/H12)</f>
        <v/>
      </c>
      <c r="J10" s="26"/>
      <c r="K10" s="31" t="str">
        <f>IF(OR(J12=0,J12=""),"",J10/J12)</f>
        <v/>
      </c>
      <c r="L10" s="26"/>
      <c r="M10" s="31" t="str">
        <f>IF(OR(L12=0,L12=""),"",L10/L12)</f>
        <v/>
      </c>
    </row>
    <row r="11" spans="1:13" x14ac:dyDescent="0.2">
      <c r="A11" s="25" t="s">
        <v>146</v>
      </c>
      <c r="B11" s="26"/>
      <c r="C11" s="31" t="str">
        <f>IF(OR(B12=0,B12=""),"",B11/B12)</f>
        <v/>
      </c>
      <c r="D11" s="26"/>
      <c r="E11" s="31" t="str">
        <f>IF(OR(D12=0,D12=""),"",D11/D12)</f>
        <v/>
      </c>
      <c r="F11" s="26"/>
      <c r="G11" s="31" t="str">
        <f>IF(OR(F12=0,F12=""),"",F11/F12)</f>
        <v/>
      </c>
      <c r="H11" s="26"/>
      <c r="I11" s="31" t="str">
        <f>IF(OR(H12=0,H12=""),"",H11/H12)</f>
        <v/>
      </c>
      <c r="J11" s="26"/>
      <c r="K11" s="31" t="str">
        <f>IF(OR(J12=0,J12=""),"",J11/J12)</f>
        <v/>
      </c>
      <c r="L11" s="26"/>
      <c r="M11" s="31" t="str">
        <f>IF(OR(L12=0,L12=""),"",L11/L12)</f>
        <v/>
      </c>
    </row>
    <row r="12" spans="1:13" x14ac:dyDescent="0.2">
      <c r="A12" s="32" t="s">
        <v>317</v>
      </c>
      <c r="B12" s="33">
        <f>B8+B9+B10-B11</f>
        <v>0</v>
      </c>
      <c r="C12" s="34" t="str">
        <f>IF(OR(B12=0,B12=""),"",B12/B12)</f>
        <v/>
      </c>
      <c r="D12" s="33">
        <f>D8+D9+D10-D11</f>
        <v>0</v>
      </c>
      <c r="E12" s="34" t="str">
        <f>IF(OR(D12=0,D12=""),"",D12/D12)</f>
        <v/>
      </c>
      <c r="F12" s="33">
        <f>F8+F9+F10-F11</f>
        <v>0</v>
      </c>
      <c r="G12" s="34" t="str">
        <f>IF(OR(F12=0,F12=""),"",F12/F12)</f>
        <v/>
      </c>
      <c r="H12" s="33">
        <f>H8+H9+H10-H11</f>
        <v>0</v>
      </c>
      <c r="I12" s="34" t="str">
        <f>IF(OR(H12=0,H12=""),"",H12/H12)</f>
        <v/>
      </c>
      <c r="J12" s="33">
        <f>J8+J9+J10-J11</f>
        <v>0</v>
      </c>
      <c r="K12" s="34" t="str">
        <f>IF(OR(J12=0,J12=""),"",J12/J12)</f>
        <v/>
      </c>
      <c r="L12" s="33">
        <f>L8+L9+L10-L11</f>
        <v>0</v>
      </c>
      <c r="M12" s="34" t="str">
        <f>IF(OR(L12=0,L12=""),"",L12/L12)</f>
        <v/>
      </c>
    </row>
    <row r="13" spans="1:13" x14ac:dyDescent="0.2">
      <c r="A13" s="25" t="s">
        <v>283</v>
      </c>
      <c r="B13" s="26"/>
      <c r="C13" s="31" t="str">
        <f>IF(OR(B12=0,B12=""),"",B13/B12)</f>
        <v/>
      </c>
      <c r="D13" s="26"/>
      <c r="E13" s="31" t="str">
        <f>IF(OR(D12=0,D12=""),"",D13/D12)</f>
        <v/>
      </c>
      <c r="F13" s="26"/>
      <c r="G13" s="31" t="str">
        <f>IF(OR(F12=0,F12=""),"",F13/F12)</f>
        <v/>
      </c>
      <c r="H13" s="26"/>
      <c r="I13" s="31" t="str">
        <f>IF(OR(H12=0,H12=""),"",H13/H12)</f>
        <v/>
      </c>
      <c r="J13" s="26"/>
      <c r="K13" s="31" t="str">
        <f>IF(OR(J12=0,J12=""),"",J13/J12)</f>
        <v/>
      </c>
      <c r="L13" s="26"/>
      <c r="M13" s="31" t="str">
        <f>IF(OR(L12=0,L12=""),"",L13/L12)</f>
        <v/>
      </c>
    </row>
    <row r="14" spans="1:13" x14ac:dyDescent="0.2">
      <c r="A14" s="35" t="s">
        <v>241</v>
      </c>
      <c r="B14" s="36">
        <f>B12-B13</f>
        <v>0</v>
      </c>
      <c r="C14" s="37" t="str">
        <f>IF(OR(B12=0,B12=""),"",B14/B12)</f>
        <v/>
      </c>
      <c r="D14" s="36">
        <f>D12-D13</f>
        <v>0</v>
      </c>
      <c r="E14" s="37" t="str">
        <f>IF(OR(D12=0,D12=""),"",D14/D12)</f>
        <v/>
      </c>
      <c r="F14" s="36">
        <f>F12-F13</f>
        <v>0</v>
      </c>
      <c r="G14" s="37" t="str">
        <f>IF(OR(F12=0,F12=""),"",F14/F12)</f>
        <v/>
      </c>
      <c r="H14" s="36">
        <f>H12-H13</f>
        <v>0</v>
      </c>
      <c r="I14" s="37" t="str">
        <f>IF(OR(H12=0,H12=""),"",H14/H12)</f>
        <v/>
      </c>
      <c r="J14" s="36">
        <f>J12-J13</f>
        <v>0</v>
      </c>
      <c r="K14" s="37" t="str">
        <f>IF(OR(J12=0,J12=""),"",J14/J12)</f>
        <v/>
      </c>
      <c r="L14" s="36">
        <f>L12-L13</f>
        <v>0</v>
      </c>
      <c r="M14" s="37" t="str">
        <f>IF(OR(L12=0,L12=""),"",L14/L12)</f>
        <v/>
      </c>
    </row>
    <row r="15" spans="1:13" x14ac:dyDescent="0.2">
      <c r="A15" s="23" t="s">
        <v>148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2">
      <c r="A16" s="23" t="s">
        <v>149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x14ac:dyDescent="0.2">
      <c r="A17" s="23" t="s">
        <v>150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2">
      <c r="A18" s="23" t="s">
        <v>151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2">
      <c r="A19" s="25" t="s">
        <v>152</v>
      </c>
      <c r="B19" s="26"/>
      <c r="D19" s="26"/>
      <c r="F19" s="26"/>
      <c r="H19" s="26"/>
      <c r="J19" s="26"/>
      <c r="L19" s="26"/>
    </row>
    <row r="20" spans="1:13" x14ac:dyDescent="0.2">
      <c r="A20" s="25" t="s">
        <v>153</v>
      </c>
      <c r="B20" s="26"/>
      <c r="D20" s="26"/>
      <c r="F20" s="26"/>
      <c r="H20" s="26"/>
      <c r="J20" s="26"/>
      <c r="L20" s="26"/>
    </row>
    <row r="21" spans="1:13" x14ac:dyDescent="0.2">
      <c r="A21" s="35" t="s">
        <v>160</v>
      </c>
      <c r="B21" s="36">
        <f>B19+B20</f>
        <v>0</v>
      </c>
      <c r="C21" s="41"/>
      <c r="D21" s="36">
        <f>D19+D20</f>
        <v>0</v>
      </c>
      <c r="E21" s="41"/>
      <c r="F21" s="36">
        <f>F19+F20</f>
        <v>0</v>
      </c>
      <c r="G21" s="41"/>
      <c r="H21" s="36">
        <f>H19+H20</f>
        <v>0</v>
      </c>
      <c r="I21" s="41"/>
      <c r="J21" s="36">
        <f>J19+J20</f>
        <v>0</v>
      </c>
      <c r="K21" s="41"/>
      <c r="L21" s="36">
        <f>L19+L20</f>
        <v>0</v>
      </c>
      <c r="M21" s="41"/>
    </row>
    <row r="22" spans="1:13" x14ac:dyDescent="0.2">
      <c r="A22" s="25" t="s">
        <v>161</v>
      </c>
      <c r="B22" s="26"/>
      <c r="D22" s="26"/>
      <c r="F22" s="26"/>
      <c r="H22" s="26"/>
      <c r="J22" s="26"/>
      <c r="L22" s="26"/>
    </row>
    <row r="23" spans="1:13" x14ac:dyDescent="0.2">
      <c r="A23" s="25" t="s">
        <v>162</v>
      </c>
      <c r="B23" s="26"/>
      <c r="D23" s="26"/>
      <c r="F23" s="26"/>
      <c r="H23" s="26"/>
      <c r="J23" s="26"/>
      <c r="L23" s="26"/>
    </row>
    <row r="24" spans="1:13" x14ac:dyDescent="0.2">
      <c r="A24" s="25" t="s">
        <v>163</v>
      </c>
      <c r="B24" s="26"/>
      <c r="D24" s="26"/>
      <c r="F24" s="26"/>
      <c r="H24" s="26"/>
      <c r="J24" s="26"/>
      <c r="L24" s="26"/>
    </row>
    <row r="25" spans="1:13" x14ac:dyDescent="0.2">
      <c r="A25" s="35" t="s">
        <v>164</v>
      </c>
      <c r="B25" s="36">
        <f>B21+B22+B23+B24</f>
        <v>0</v>
      </c>
      <c r="C25" s="37" t="str">
        <f>IF(OR(B12=0,B12=""),"",B25/B12)</f>
        <v/>
      </c>
      <c r="D25" s="36">
        <f>D21+D22+D23+D24</f>
        <v>0</v>
      </c>
      <c r="E25" s="37" t="str">
        <f>IF(OR(D12=0,D12=""),"",D25/D12)</f>
        <v/>
      </c>
      <c r="F25" s="36">
        <f>F21+F22+F23+F24</f>
        <v>0</v>
      </c>
      <c r="G25" s="37" t="str">
        <f>IF(OR(F12=0,F12=""),"",F25/F12)</f>
        <v/>
      </c>
      <c r="H25" s="36">
        <f>H21+H22+H23+H24</f>
        <v>0</v>
      </c>
      <c r="I25" s="37" t="str">
        <f>IF(OR(H12=0,H12=""),"",H25/H12)</f>
        <v/>
      </c>
      <c r="J25" s="36">
        <f>J21+J22+J23+J24</f>
        <v>0</v>
      </c>
      <c r="K25" s="37" t="str">
        <f>IF(OR(J12=0,J12=""),"",J25/J12)</f>
        <v/>
      </c>
      <c r="L25" s="36">
        <f>L21+L22+L23+L24</f>
        <v>0</v>
      </c>
      <c r="M25" s="37" t="str">
        <f>IF(OR(L12=0,L12=""),"",L25/L12)</f>
        <v/>
      </c>
    </row>
    <row r="26" spans="1:13" x14ac:dyDescent="0.2">
      <c r="A26" s="23" t="s">
        <v>165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 x14ac:dyDescent="0.2">
      <c r="A27" s="25" t="s">
        <v>166</v>
      </c>
      <c r="B27" s="26"/>
      <c r="C27" s="31" t="str">
        <f>IF(OR(B12=0,B12=""),"",B27/B12)</f>
        <v/>
      </c>
      <c r="D27" s="26"/>
      <c r="E27" s="31" t="str">
        <f>IF(OR(D12=0,D12=""),"",D27/D12)</f>
        <v/>
      </c>
      <c r="F27" s="26"/>
      <c r="G27" s="31" t="str">
        <f>IF(OR(F12=0,F12=""),"",F27/F12)</f>
        <v/>
      </c>
      <c r="H27" s="26"/>
      <c r="I27" s="31" t="str">
        <f>IF(OR(H12=0,H12=""),"",H27/H12)</f>
        <v/>
      </c>
      <c r="J27" s="26"/>
      <c r="K27" s="31" t="str">
        <f>IF(OR(J12=0,J12=""),"",J27/J12)</f>
        <v/>
      </c>
      <c r="L27" s="26"/>
      <c r="M27" s="31" t="str">
        <f>IF(OR(L12=0,L12=""),"",L27/L12)</f>
        <v/>
      </c>
    </row>
    <row r="28" spans="1:13" x14ac:dyDescent="0.2">
      <c r="A28" s="25" t="s">
        <v>167</v>
      </c>
      <c r="B28" s="26"/>
      <c r="C28" s="31" t="str">
        <f>IF(OR(B12=0,B12=""),"",B28/B12)</f>
        <v/>
      </c>
      <c r="D28" s="26"/>
      <c r="E28" s="31" t="str">
        <f>IF(OR(D12=0,D12=""),"",D28/D12)</f>
        <v/>
      </c>
      <c r="F28" s="26"/>
      <c r="G28" s="31" t="str">
        <f>IF(OR(F12=0,F12=""),"",F28/F12)</f>
        <v/>
      </c>
      <c r="H28" s="26"/>
      <c r="I28" s="31" t="str">
        <f>IF(OR(H12=0,H12=""),"",H28/H12)</f>
        <v/>
      </c>
      <c r="J28" s="26"/>
      <c r="K28" s="31" t="str">
        <f>IF(OR(J12=0,J12=""),"",J28/J12)</f>
        <v/>
      </c>
      <c r="L28" s="26"/>
      <c r="M28" s="31" t="str">
        <f>IF(OR(L12=0,L12=""),"",L28/L12)</f>
        <v/>
      </c>
    </row>
    <row r="29" spans="1:13" x14ac:dyDescent="0.2">
      <c r="A29" s="25" t="s">
        <v>168</v>
      </c>
      <c r="B29" s="26"/>
      <c r="C29" s="31" t="str">
        <f>IF(OR(B12=0,B12=""),"",B29/B12)</f>
        <v/>
      </c>
      <c r="D29" s="26"/>
      <c r="E29" s="31" t="str">
        <f>IF(OR(D12=0,D12=""),"",D29/D12)</f>
        <v/>
      </c>
      <c r="F29" s="26"/>
      <c r="G29" s="31" t="str">
        <f>IF(OR(F12=0,F12=""),"",F29/F12)</f>
        <v/>
      </c>
      <c r="H29" s="26"/>
      <c r="I29" s="31" t="str">
        <f>IF(OR(H12=0,H12=""),"",H29/H12)</f>
        <v/>
      </c>
      <c r="J29" s="26"/>
      <c r="K29" s="31" t="str">
        <f>IF(OR(J12=0,J12=""),"",J29/J12)</f>
        <v/>
      </c>
      <c r="L29" s="26"/>
      <c r="M29" s="31" t="str">
        <f>IF(OR(L12=0,L12=""),"",L29/L12)</f>
        <v/>
      </c>
    </row>
    <row r="30" spans="1:13" x14ac:dyDescent="0.2">
      <c r="A30" s="35" t="s">
        <v>169</v>
      </c>
      <c r="B30" s="36">
        <f>B27+B28+B29</f>
        <v>0</v>
      </c>
      <c r="C30" s="37" t="str">
        <f>IF(OR(B12=0,B12=""),"",B30/B12)</f>
        <v/>
      </c>
      <c r="D30" s="36">
        <f>D27+D28+D29</f>
        <v>0</v>
      </c>
      <c r="E30" s="37" t="str">
        <f>IF(OR(D12=0,D12=""),"",D30/D12)</f>
        <v/>
      </c>
      <c r="F30" s="36">
        <f>F27+F28+F29</f>
        <v>0</v>
      </c>
      <c r="G30" s="37" t="str">
        <f>IF(OR(F12=0,F12=""),"",F30/F12)</f>
        <v/>
      </c>
      <c r="H30" s="36">
        <f>H27+H28+H29</f>
        <v>0</v>
      </c>
      <c r="I30" s="37" t="str">
        <f>IF(OR(H12=0,H12=""),"",H30/H12)</f>
        <v/>
      </c>
      <c r="J30" s="36">
        <f>J27+J28+J29</f>
        <v>0</v>
      </c>
      <c r="K30" s="37" t="str">
        <f>IF(OR(J12=0,J12=""),"",J30/J12)</f>
        <v/>
      </c>
      <c r="L30" s="36">
        <f>L27+L28+L29</f>
        <v>0</v>
      </c>
      <c r="M30" s="37" t="str">
        <f>IF(OR(L12=0,L12=""),"",L30/L12)</f>
        <v/>
      </c>
    </row>
    <row r="31" spans="1:13" x14ac:dyDescent="0.2">
      <c r="A31" s="35" t="s">
        <v>170</v>
      </c>
      <c r="B31" s="36">
        <f>B25+B30</f>
        <v>0</v>
      </c>
      <c r="C31" s="37" t="str">
        <f>IF(OR(B12=0,B12=""),"",B31/B12)</f>
        <v/>
      </c>
      <c r="D31" s="36">
        <f>D25+D30</f>
        <v>0</v>
      </c>
      <c r="E31" s="37" t="str">
        <f>IF(OR(D12=0,D12=""),"",D31/D12)</f>
        <v/>
      </c>
      <c r="F31" s="36">
        <f>F25+F30</f>
        <v>0</v>
      </c>
      <c r="G31" s="37" t="str">
        <f>IF(OR(F12=0,F12=""),"",F31/F12)</f>
        <v/>
      </c>
      <c r="H31" s="36">
        <f>H25+H30</f>
        <v>0</v>
      </c>
      <c r="I31" s="37" t="str">
        <f>IF(OR(H12=0,H12=""),"",H31/H12)</f>
        <v/>
      </c>
      <c r="J31" s="36">
        <f>J25+J30</f>
        <v>0</v>
      </c>
      <c r="K31" s="37" t="str">
        <f>IF(OR(J12=0,J12=""),"",J31/J12)</f>
        <v/>
      </c>
      <c r="L31" s="36">
        <f>L25+L30</f>
        <v>0</v>
      </c>
      <c r="M31" s="37" t="str">
        <f>IF(OR(L12=0,L12=""),"",L31/L12)</f>
        <v/>
      </c>
    </row>
    <row r="32" spans="1:13" x14ac:dyDescent="0.2">
      <c r="A32" s="23" t="s">
        <v>171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x14ac:dyDescent="0.2">
      <c r="A33" s="25" t="s">
        <v>172</v>
      </c>
      <c r="B33" s="26"/>
      <c r="C33" s="31" t="str">
        <f>IF(OR(B12=0,B12=""),"",B33/B12)</f>
        <v/>
      </c>
      <c r="D33" s="26"/>
      <c r="E33" s="31" t="str">
        <f>IF(OR(D12=0,D12=""),"",D33/D12)</f>
        <v/>
      </c>
      <c r="F33" s="26"/>
      <c r="G33" s="31" t="str">
        <f>IF(OR(F12=0,F12=""),"",F33/F12)</f>
        <v/>
      </c>
      <c r="H33" s="26"/>
      <c r="I33" s="31" t="str">
        <f>IF(OR(H12=0,H12=""),"",H33/H12)</f>
        <v/>
      </c>
      <c r="J33" s="26"/>
      <c r="K33" s="31" t="str">
        <f>IF(OR(J12=0,J12=""),"",J33/J12)</f>
        <v/>
      </c>
      <c r="L33" s="26"/>
      <c r="M33" s="31" t="str">
        <f>IF(OR(L12=0,L12=""),"",L33/L12)</f>
        <v/>
      </c>
    </row>
    <row r="34" spans="1:13" x14ac:dyDescent="0.2">
      <c r="A34" s="25" t="s">
        <v>173</v>
      </c>
      <c r="B34" s="26"/>
      <c r="C34" s="31" t="str">
        <f>IF(OR(B12=0,B12=""),"",B34/B12)</f>
        <v/>
      </c>
      <c r="D34" s="26"/>
      <c r="E34" s="31" t="str">
        <f>IF(OR(D12=0,D12=""),"",D34/D12)</f>
        <v/>
      </c>
      <c r="F34" s="26"/>
      <c r="G34" s="31" t="str">
        <f>IF(OR(F12=0,F12=""),"",F34/F12)</f>
        <v/>
      </c>
      <c r="H34" s="26"/>
      <c r="I34" s="31" t="str">
        <f>IF(OR(H12=0,H12=""),"",H34/H12)</f>
        <v/>
      </c>
      <c r="J34" s="26"/>
      <c r="K34" s="31" t="str">
        <f>IF(OR(J12=0,J12=""),"",J34/J12)</f>
        <v/>
      </c>
      <c r="L34" s="26"/>
      <c r="M34" s="31" t="str">
        <f>IF(OR(L12=0,L12=""),"",L34/L12)</f>
        <v/>
      </c>
    </row>
    <row r="35" spans="1:13" x14ac:dyDescent="0.2">
      <c r="A35" s="25" t="s">
        <v>178</v>
      </c>
      <c r="B35" s="26"/>
      <c r="C35" s="31" t="str">
        <f>IF(OR(B12=0,B12=""),"",B35/B12)</f>
        <v/>
      </c>
      <c r="D35" s="26"/>
      <c r="E35" s="31" t="str">
        <f>IF(OR(D12=0,D12=""),"",D35/D12)</f>
        <v/>
      </c>
      <c r="F35" s="26"/>
      <c r="G35" s="31" t="str">
        <f>IF(OR(F12=0,F12=""),"",F35/F12)</f>
        <v/>
      </c>
      <c r="H35" s="26"/>
      <c r="I35" s="31" t="str">
        <f>IF(OR(H12=0,H12=""),"",H35/H12)</f>
        <v/>
      </c>
      <c r="J35" s="26"/>
      <c r="K35" s="31" t="str">
        <f>IF(OR(J12=0,J12=""),"",J35/J12)</f>
        <v/>
      </c>
      <c r="L35" s="26"/>
      <c r="M35" s="31" t="str">
        <f>IF(OR(L12=0,L12=""),"",L35/L12)</f>
        <v/>
      </c>
    </row>
    <row r="36" spans="1:13" x14ac:dyDescent="0.2">
      <c r="A36" s="25" t="s">
        <v>179</v>
      </c>
      <c r="B36" s="26"/>
      <c r="C36" s="31" t="str">
        <f>IF(OR(B12=0,B12=""),"",B36/B12)</f>
        <v/>
      </c>
      <c r="D36" s="26"/>
      <c r="E36" s="31" t="str">
        <f>IF(OR(D12=0,D12=""),"",D36/D12)</f>
        <v/>
      </c>
      <c r="F36" s="26"/>
      <c r="G36" s="31" t="str">
        <f>IF(OR(F12=0,F12=""),"",F36/F12)</f>
        <v/>
      </c>
      <c r="H36" s="26"/>
      <c r="I36" s="31" t="str">
        <f>IF(OR(H12=0,H12=""),"",H36/H12)</f>
        <v/>
      </c>
      <c r="J36" s="26"/>
      <c r="K36" s="31" t="str">
        <f>IF(OR(J12=0,J12=""),"",J36/J12)</f>
        <v/>
      </c>
      <c r="L36" s="26"/>
      <c r="M36" s="31" t="str">
        <f>IF(OR(L12=0,L12=""),"",L36/L12)</f>
        <v/>
      </c>
    </row>
    <row r="37" spans="1:13" x14ac:dyDescent="0.2">
      <c r="A37" s="25" t="s">
        <v>180</v>
      </c>
      <c r="B37" s="26"/>
      <c r="C37" s="31" t="str">
        <f>IF(OR(B12=0,B12=""),"",B37/B12)</f>
        <v/>
      </c>
      <c r="D37" s="26"/>
      <c r="E37" s="31" t="str">
        <f>IF(OR(D12=0,D12=""),"",D37/D12)</f>
        <v/>
      </c>
      <c r="F37" s="26"/>
      <c r="G37" s="31" t="str">
        <f>IF(OR(F12=0,F12=""),"",F37/F12)</f>
        <v/>
      </c>
      <c r="H37" s="26"/>
      <c r="I37" s="31" t="str">
        <f>IF(OR(H12=0,H12=""),"",H37/H12)</f>
        <v/>
      </c>
      <c r="J37" s="26"/>
      <c r="K37" s="31" t="str">
        <f>IF(OR(J12=0,J12=""),"",J37/J12)</f>
        <v/>
      </c>
      <c r="L37" s="26"/>
      <c r="M37" s="31" t="str">
        <f>IF(OR(L12=0,L12=""),"",L37/L12)</f>
        <v/>
      </c>
    </row>
    <row r="38" spans="1:13" x14ac:dyDescent="0.2">
      <c r="A38" s="25" t="s">
        <v>181</v>
      </c>
      <c r="B38" s="26"/>
      <c r="C38" s="31" t="str">
        <f>IF(OR(B12=0,B12=""),"",B38/B12)</f>
        <v/>
      </c>
      <c r="D38" s="26"/>
      <c r="E38" s="31" t="str">
        <f>IF(OR(D12=0,D12=""),"",D38/D12)</f>
        <v/>
      </c>
      <c r="F38" s="26"/>
      <c r="G38" s="31" t="str">
        <f>IF(OR(F12=0,F12=""),"",F38/F12)</f>
        <v/>
      </c>
      <c r="H38" s="26"/>
      <c r="I38" s="31" t="str">
        <f>IF(OR(H12=0,H12=""),"",H38/H12)</f>
        <v/>
      </c>
      <c r="J38" s="26"/>
      <c r="K38" s="31" t="str">
        <f>IF(OR(J12=0,J12=""),"",J38/J12)</f>
        <v/>
      </c>
      <c r="L38" s="26"/>
      <c r="M38" s="31" t="str">
        <f>IF(OR(L12=0,L12=""),"",L38/L12)</f>
        <v/>
      </c>
    </row>
    <row r="39" spans="1:13" x14ac:dyDescent="0.2">
      <c r="A39" s="25" t="s">
        <v>182</v>
      </c>
      <c r="B39" s="26"/>
      <c r="C39" s="31" t="str">
        <f>IF(OR(B12=0,B12=""),"",B39/B12)</f>
        <v/>
      </c>
      <c r="D39" s="26"/>
      <c r="E39" s="31" t="str">
        <f>IF(OR(D12=0,D12=""),"",D39/D12)</f>
        <v/>
      </c>
      <c r="F39" s="26"/>
      <c r="G39" s="31" t="str">
        <f>IF(OR(F12=0,F12=""),"",F39/F12)</f>
        <v/>
      </c>
      <c r="H39" s="26"/>
      <c r="I39" s="31" t="str">
        <f>IF(OR(H12=0,H12=""),"",H39/H12)</f>
        <v/>
      </c>
      <c r="J39" s="26"/>
      <c r="K39" s="31" t="str">
        <f>IF(OR(J12=0,J12=""),"",J39/J12)</f>
        <v/>
      </c>
      <c r="L39" s="26"/>
      <c r="M39" s="31" t="str">
        <f>IF(OR(L12=0,L12=""),"",L39/L12)</f>
        <v/>
      </c>
    </row>
    <row r="40" spans="1:13" x14ac:dyDescent="0.2">
      <c r="A40" s="25" t="s">
        <v>183</v>
      </c>
      <c r="B40" s="26"/>
      <c r="C40" s="31" t="str">
        <f>IF(OR(B12=0,B12=""),"",B40/B12)</f>
        <v/>
      </c>
      <c r="D40" s="26"/>
      <c r="E40" s="31" t="str">
        <f>IF(OR(D12=0,D12=""),"",D40/D12)</f>
        <v/>
      </c>
      <c r="F40" s="26"/>
      <c r="G40" s="31" t="str">
        <f>IF(OR(F12=0,F12=""),"",F40/F12)</f>
        <v/>
      </c>
      <c r="H40" s="26"/>
      <c r="I40" s="31" t="str">
        <f>IF(OR(H12=0,H12=""),"",H40/H12)</f>
        <v/>
      </c>
      <c r="J40" s="26"/>
      <c r="K40" s="31" t="str">
        <f>IF(OR(J12=0,J12=""),"",J40/J12)</f>
        <v/>
      </c>
      <c r="L40" s="26"/>
      <c r="M40" s="31" t="str">
        <f>IF(OR(L12=0,L12=""),"",L40/L12)</f>
        <v/>
      </c>
    </row>
    <row r="41" spans="1:13" x14ac:dyDescent="0.2">
      <c r="A41" s="25" t="s">
        <v>184</v>
      </c>
      <c r="B41" s="26"/>
      <c r="C41" s="31" t="str">
        <f>IF(OR(B12=0,B12=""),"",B41/B12)</f>
        <v/>
      </c>
      <c r="D41" s="26"/>
      <c r="E41" s="31" t="str">
        <f>IF(OR(D12=0,D12=""),"",D41/D12)</f>
        <v/>
      </c>
      <c r="F41" s="26"/>
      <c r="G41" s="31" t="str">
        <f>IF(OR(F12=0,F12=""),"",F41/F12)</f>
        <v/>
      </c>
      <c r="H41" s="26"/>
      <c r="I41" s="31" t="str">
        <f>IF(OR(H12=0,H12=""),"",H41/H12)</f>
        <v/>
      </c>
      <c r="J41" s="26"/>
      <c r="K41" s="31" t="str">
        <f>IF(OR(J12=0,J12=""),"",J41/J12)</f>
        <v/>
      </c>
      <c r="L41" s="26"/>
      <c r="M41" s="31" t="str">
        <f>IF(OR(L12=0,L12=""),"",L41/L12)</f>
        <v/>
      </c>
    </row>
    <row r="42" spans="1:13" x14ac:dyDescent="0.2">
      <c r="A42" s="25" t="s">
        <v>188</v>
      </c>
      <c r="B42" s="26"/>
      <c r="C42" s="31" t="str">
        <f>IF(OR(B12=0,B12=""),"",B42/B12)</f>
        <v/>
      </c>
      <c r="D42" s="26"/>
      <c r="E42" s="31" t="str">
        <f>IF(OR(D12=0,D12=""),"",D42/D12)</f>
        <v/>
      </c>
      <c r="F42" s="26"/>
      <c r="G42" s="31" t="str">
        <f>IF(OR(F12=0,F12=""),"",F42/F12)</f>
        <v/>
      </c>
      <c r="H42" s="26"/>
      <c r="I42" s="31" t="str">
        <f>IF(OR(H12=0,H12=""),"",H42/H12)</f>
        <v/>
      </c>
      <c r="J42" s="26"/>
      <c r="K42" s="31" t="str">
        <f>IF(OR(J12=0,J12=""),"",J42/J12)</f>
        <v/>
      </c>
      <c r="L42" s="26"/>
      <c r="M42" s="31" t="str">
        <f>IF(OR(L12=0,L12=""),"",L42/L12)</f>
        <v/>
      </c>
    </row>
    <row r="43" spans="1:13" x14ac:dyDescent="0.2">
      <c r="A43" s="25" t="s">
        <v>189</v>
      </c>
      <c r="B43" s="26"/>
      <c r="C43" s="31" t="str">
        <f>IF(OR(B12=0,B12=""),"",B43/B12)</f>
        <v/>
      </c>
      <c r="D43" s="26"/>
      <c r="E43" s="31" t="str">
        <f>IF(OR(D12=0,D12=""),"",D43/D12)</f>
        <v/>
      </c>
      <c r="F43" s="26"/>
      <c r="G43" s="31" t="str">
        <f>IF(OR(F12=0,F12=""),"",F43/F12)</f>
        <v/>
      </c>
      <c r="H43" s="26"/>
      <c r="I43" s="31" t="str">
        <f>IF(OR(H12=0,H12=""),"",H43/H12)</f>
        <v/>
      </c>
      <c r="J43" s="26"/>
      <c r="K43" s="31" t="str">
        <f>IF(OR(J12=0,J12=""),"",J43/J12)</f>
        <v/>
      </c>
      <c r="L43" s="26"/>
      <c r="M43" s="31" t="str">
        <f>IF(OR(L12=0,L12=""),"",L43/L12)</f>
        <v/>
      </c>
    </row>
    <row r="44" spans="1:13" x14ac:dyDescent="0.2">
      <c r="A44" s="25" t="s">
        <v>106</v>
      </c>
      <c r="B44" s="26"/>
      <c r="C44" s="31" t="str">
        <f>IF(OR(B12=0,B12=""),"",B44/B12)</f>
        <v/>
      </c>
      <c r="D44" s="26"/>
      <c r="E44" s="31" t="str">
        <f>IF(OR(D12=0,D12=""),"",D44/D12)</f>
        <v/>
      </c>
      <c r="F44" s="26"/>
      <c r="G44" s="31" t="str">
        <f>IF(OR(F12=0,F12=""),"",F44/F12)</f>
        <v/>
      </c>
      <c r="H44" s="26"/>
      <c r="I44" s="31" t="str">
        <f>IF(OR(H12=0,H12=""),"",H44/H12)</f>
        <v/>
      </c>
      <c r="J44" s="26"/>
      <c r="K44" s="31" t="str">
        <f>IF(OR(J12=0,J12=""),"",J44/J12)</f>
        <v/>
      </c>
      <c r="L44" s="26"/>
      <c r="M44" s="31" t="str">
        <f>IF(OR(L12=0,L12=""),"",L44/L12)</f>
        <v/>
      </c>
    </row>
    <row r="45" spans="1:13" x14ac:dyDescent="0.2">
      <c r="A45" s="25" t="s">
        <v>191</v>
      </c>
      <c r="B45" s="26"/>
      <c r="C45" s="31" t="str">
        <f>IF(OR(B12=0,B12=""),"",B45/B12)</f>
        <v/>
      </c>
      <c r="D45" s="26"/>
      <c r="E45" s="31" t="str">
        <f>IF(OR(D12=0,D12=""),"",D45/D12)</f>
        <v/>
      </c>
      <c r="F45" s="26"/>
      <c r="G45" s="31" t="str">
        <f>IF(OR(F12=0,F12=""),"",F45/F12)</f>
        <v/>
      </c>
      <c r="H45" s="26"/>
      <c r="I45" s="31" t="str">
        <f>IF(OR(H12=0,H12=""),"",H45/H12)</f>
        <v/>
      </c>
      <c r="J45" s="26"/>
      <c r="K45" s="31" t="str">
        <f>IF(OR(J12=0,J12=""),"",J45/J12)</f>
        <v/>
      </c>
      <c r="L45" s="26"/>
      <c r="M45" s="31" t="str">
        <f>IF(OR(L12=0,L12=""),"",L45/L12)</f>
        <v/>
      </c>
    </row>
    <row r="46" spans="1:13" x14ac:dyDescent="0.2">
      <c r="A46" s="25" t="s">
        <v>192</v>
      </c>
      <c r="B46" s="26"/>
      <c r="C46" s="31" t="str">
        <f>IF(OR(B12=0,B12=""),"",B46/B12)</f>
        <v/>
      </c>
      <c r="D46" s="26"/>
      <c r="E46" s="31" t="str">
        <f>IF(OR(D12=0,D12=""),"",D46/D12)</f>
        <v/>
      </c>
      <c r="F46" s="26"/>
      <c r="G46" s="31" t="str">
        <f>IF(OR(F12=0,F12=""),"",F46/F12)</f>
        <v/>
      </c>
      <c r="H46" s="26"/>
      <c r="I46" s="31" t="str">
        <f>IF(OR(H12=0,H12=""),"",H46/H12)</f>
        <v/>
      </c>
      <c r="J46" s="26"/>
      <c r="K46" s="31" t="str">
        <f>IF(OR(J12=0,J12=""),"",J46/J12)</f>
        <v/>
      </c>
      <c r="L46" s="26"/>
      <c r="M46" s="31" t="str">
        <f>IF(OR(L12=0,L12=""),"",L46/L12)</f>
        <v/>
      </c>
    </row>
    <row r="47" spans="1:13" x14ac:dyDescent="0.2">
      <c r="A47" s="25" t="s">
        <v>194</v>
      </c>
      <c r="B47" s="26"/>
      <c r="C47" s="31" t="str">
        <f>IF(OR(B12=0,B12=""),"",B47/B12)</f>
        <v/>
      </c>
      <c r="D47" s="26"/>
      <c r="E47" s="31" t="str">
        <f>IF(OR(D12=0,D12=""),"",D47/D12)</f>
        <v/>
      </c>
      <c r="F47" s="26"/>
      <c r="G47" s="31" t="str">
        <f>IF(OR(F12=0,F12=""),"",F47/F12)</f>
        <v/>
      </c>
      <c r="H47" s="26"/>
      <c r="I47" s="31" t="str">
        <f>IF(OR(H12=0,H12=""),"",H47/H12)</f>
        <v/>
      </c>
      <c r="J47" s="26"/>
      <c r="K47" s="31" t="str">
        <f>IF(OR(J12=0,J12=""),"",J47/J12)</f>
        <v/>
      </c>
      <c r="L47" s="26"/>
      <c r="M47" s="31" t="str">
        <f>IF(OR(L12=0,L12=""),"",L47/L12)</f>
        <v/>
      </c>
    </row>
    <row r="48" spans="1:13" x14ac:dyDescent="0.2">
      <c r="A48" s="25" t="s">
        <v>109</v>
      </c>
      <c r="B48" s="26"/>
      <c r="C48" s="31" t="str">
        <f>IF(OR(B12=0,B12=""),"",B48/B12)</f>
        <v/>
      </c>
      <c r="D48" s="26"/>
      <c r="E48" s="31" t="str">
        <f>IF(OR(D12=0,D12=""),"",D48/D12)</f>
        <v/>
      </c>
      <c r="F48" s="26"/>
      <c r="G48" s="31" t="str">
        <f>IF(OR(F12=0,F12=""),"",F48/F12)</f>
        <v/>
      </c>
      <c r="H48" s="26"/>
      <c r="I48" s="31" t="str">
        <f>IF(OR(H12=0,H12=""),"",H48/H12)</f>
        <v/>
      </c>
      <c r="J48" s="26"/>
      <c r="K48" s="31" t="str">
        <f>IF(OR(J12=0,J12=""),"",J48/J12)</f>
        <v/>
      </c>
      <c r="L48" s="26"/>
      <c r="M48" s="31" t="str">
        <f>IF(OR(L12=0,L12=""),"",L48/L12)</f>
        <v/>
      </c>
    </row>
    <row r="49" spans="1:13" x14ac:dyDescent="0.2">
      <c r="A49" s="25" t="s">
        <v>196</v>
      </c>
      <c r="B49" s="26"/>
      <c r="C49" s="31" t="str">
        <f>IF(OR(B12=0,B12=""),"",B49/B12)</f>
        <v/>
      </c>
      <c r="D49" s="26"/>
      <c r="E49" s="31" t="str">
        <f>IF(OR(D12=0,D12=""),"",D49/D12)</f>
        <v/>
      </c>
      <c r="F49" s="26"/>
      <c r="G49" s="31" t="str">
        <f>IF(OR(F12=0,F12=""),"",F49/F12)</f>
        <v/>
      </c>
      <c r="H49" s="26"/>
      <c r="I49" s="31" t="str">
        <f>IF(OR(H12=0,H12=""),"",H49/H12)</f>
        <v/>
      </c>
      <c r="J49" s="26"/>
      <c r="K49" s="31" t="str">
        <f>IF(OR(J12=0,J12=""),"",J49/J12)</f>
        <v/>
      </c>
      <c r="L49" s="26"/>
      <c r="M49" s="31" t="str">
        <f>IF(OR(L12=0,L12=""),"",L49/L12)</f>
        <v/>
      </c>
    </row>
    <row r="50" spans="1:13" x14ac:dyDescent="0.2">
      <c r="A50" s="25" t="s">
        <v>197</v>
      </c>
      <c r="B50" s="26"/>
      <c r="C50" s="31" t="str">
        <f>IF(OR(B12=0,B12=""),"",B50/B12)</f>
        <v/>
      </c>
      <c r="D50" s="26"/>
      <c r="E50" s="31" t="str">
        <f>IF(OR(D12=0,D12=""),"",D50/D12)</f>
        <v/>
      </c>
      <c r="F50" s="26"/>
      <c r="G50" s="31" t="str">
        <f>IF(OR(F12=0,F12=""),"",F50/F12)</f>
        <v/>
      </c>
      <c r="H50" s="26"/>
      <c r="I50" s="31" t="str">
        <f>IF(OR(H12=0,H12=""),"",H50/H12)</f>
        <v/>
      </c>
      <c r="J50" s="26"/>
      <c r="K50" s="31" t="str">
        <f>IF(OR(J12=0,J12=""),"",J50/J12)</f>
        <v/>
      </c>
      <c r="L50" s="26"/>
      <c r="M50" s="31" t="str">
        <f>IF(OR(L12=0,L12=""),"",L50/L12)</f>
        <v/>
      </c>
    </row>
    <row r="51" spans="1:13" x14ac:dyDescent="0.2">
      <c r="A51" s="25" t="s">
        <v>198</v>
      </c>
      <c r="B51" s="26"/>
      <c r="C51" s="31" t="str">
        <f>IF(OR(B12=0,B12=""),"",B51/B12)</f>
        <v/>
      </c>
      <c r="D51" s="26"/>
      <c r="E51" s="31" t="str">
        <f>IF(OR(D12=0,D12=""),"",D51/D12)</f>
        <v/>
      </c>
      <c r="F51" s="26"/>
      <c r="G51" s="31" t="str">
        <f>IF(OR(F12=0,F12=""),"",F51/F12)</f>
        <v/>
      </c>
      <c r="H51" s="26"/>
      <c r="I51" s="31" t="str">
        <f>IF(OR(H12=0,H12=""),"",H51/H12)</f>
        <v/>
      </c>
      <c r="J51" s="26"/>
      <c r="K51" s="31" t="str">
        <f>IF(OR(J12=0,J12=""),"",J51/J12)</f>
        <v/>
      </c>
      <c r="L51" s="26"/>
      <c r="M51" s="31" t="str">
        <f>IF(OR(L12=0,L12=""),"",L51/L12)</f>
        <v/>
      </c>
    </row>
    <row r="52" spans="1:13" x14ac:dyDescent="0.2">
      <c r="A52" s="25" t="s">
        <v>199</v>
      </c>
      <c r="B52" s="26"/>
      <c r="C52" s="31" t="str">
        <f>IF(OR(B12=0,B12=""),"",B52/B12)</f>
        <v/>
      </c>
      <c r="D52" s="26"/>
      <c r="E52" s="31" t="str">
        <f>IF(OR(D12=0,D12=""),"",D52/D12)</f>
        <v/>
      </c>
      <c r="F52" s="26"/>
      <c r="G52" s="31" t="str">
        <f>IF(OR(F12=0,F12=""),"",F52/F12)</f>
        <v/>
      </c>
      <c r="H52" s="26"/>
      <c r="I52" s="31" t="str">
        <f>IF(OR(H12=0,H12=""),"",H52/H12)</f>
        <v/>
      </c>
      <c r="J52" s="26"/>
      <c r="K52" s="31" t="str">
        <f>IF(OR(J12=0,J12=""),"",J52/J12)</f>
        <v/>
      </c>
      <c r="L52" s="26"/>
      <c r="M52" s="31" t="str">
        <f>IF(OR(L12=0,L12=""),"",L52/L12)</f>
        <v/>
      </c>
    </row>
    <row r="53" spans="1:13" x14ac:dyDescent="0.2">
      <c r="A53" s="25" t="s">
        <v>200</v>
      </c>
      <c r="B53" s="26"/>
      <c r="C53" s="31" t="str">
        <f>IF(OR(B12=0,B12=""),"",B53/B12)</f>
        <v/>
      </c>
      <c r="D53" s="26"/>
      <c r="E53" s="31" t="str">
        <f>IF(OR(D12=0,D12=""),"",D53/D12)</f>
        <v/>
      </c>
      <c r="F53" s="26"/>
      <c r="G53" s="31" t="str">
        <f>IF(OR(F12=0,F12=""),"",F53/F12)</f>
        <v/>
      </c>
      <c r="H53" s="26"/>
      <c r="I53" s="31" t="str">
        <f>IF(OR(H12=0,H12=""),"",H53/H12)</f>
        <v/>
      </c>
      <c r="J53" s="26"/>
      <c r="K53" s="31" t="str">
        <f>IF(OR(J12=0,J12=""),"",J53/J12)</f>
        <v/>
      </c>
      <c r="L53" s="26"/>
      <c r="M53" s="31" t="str">
        <f>IF(OR(L12=0,L12=""),"",L53/L12)</f>
        <v/>
      </c>
    </row>
    <row r="54" spans="1:13" x14ac:dyDescent="0.2">
      <c r="A54" s="25" t="s">
        <v>201</v>
      </c>
      <c r="B54" s="26"/>
      <c r="C54" s="31" t="str">
        <f>IF(OR(B12=0,B12=""),"",B54/B12)</f>
        <v/>
      </c>
      <c r="D54" s="26"/>
      <c r="E54" s="31" t="str">
        <f>IF(OR(D12=0,D12=""),"",D54/D12)</f>
        <v/>
      </c>
      <c r="F54" s="26"/>
      <c r="G54" s="31" t="str">
        <f>IF(OR(F12=0,F12=""),"",F54/F12)</f>
        <v/>
      </c>
      <c r="H54" s="26"/>
      <c r="I54" s="31" t="str">
        <f>IF(OR(H12=0,H12=""),"",H54/H12)</f>
        <v/>
      </c>
      <c r="J54" s="26"/>
      <c r="K54" s="31" t="str">
        <f>IF(OR(J12=0,J12=""),"",J54/J12)</f>
        <v/>
      </c>
      <c r="L54" s="26"/>
      <c r="M54" s="31" t="str">
        <f>IF(OR(L12=0,L12=""),"",L54/L12)</f>
        <v/>
      </c>
    </row>
    <row r="55" spans="1:13" x14ac:dyDescent="0.2">
      <c r="A55" s="35" t="s">
        <v>202</v>
      </c>
      <c r="B55" s="36">
        <f>B33+B34+B35+B36+B37+B38+B39+B40+B41+B42+B43+B44+B45+B46+B47+B48+B49+B50+B51+B52+B53+B54</f>
        <v>0</v>
      </c>
      <c r="C55" s="37" t="str">
        <f>IF(OR(B12=0,B12=""),"",B55/B12)</f>
        <v/>
      </c>
      <c r="D55" s="36">
        <f>D33+D34+D35+D36+D37+D38+D39+D40+D41+D42+D43+D44+D45+D46+D47+D48+D49+D50+D51+D52+D53+D54</f>
        <v>0</v>
      </c>
      <c r="E55" s="37" t="str">
        <f>IF(OR(D12=0,D12=""),"",D55/D12)</f>
        <v/>
      </c>
      <c r="F55" s="36">
        <f>F33+F34+F35+F36+F37+F38+F39+F40+F41+F42+F43+F44+F45+F46+F47+F48+F49+F50+F51+F52+F53+F54</f>
        <v>0</v>
      </c>
      <c r="G55" s="37" t="str">
        <f>IF(OR(F12=0,F12=""),"",F55/F12)</f>
        <v/>
      </c>
      <c r="H55" s="36">
        <f>H33+H34+H35+H36+H37+H38+H39+H40+H41+H42+H43+H44+H45+H46+H47+H48+H49+H50+H51+H52+H53+H54</f>
        <v>0</v>
      </c>
      <c r="I55" s="37" t="str">
        <f>IF(OR(H12=0,H12=""),"",H55/H12)</f>
        <v/>
      </c>
      <c r="J55" s="36">
        <f>J33+J34+J35+J36+J37+J38+J39+J40+J41+J42+J43+J44+J45+J46+J47+J48+J49+J50+J51+J52+J53+J54</f>
        <v>0</v>
      </c>
      <c r="K55" s="37" t="str">
        <f>IF(OR(J12=0,J12=""),"",J55/J12)</f>
        <v/>
      </c>
      <c r="L55" s="36">
        <f>L33+L34+L35+L36+L37+L38+L39+L40+L41+L42+L43+L44+L45+L46+L47+L48+L49+L50+L51+L52+L53+L54</f>
        <v>0</v>
      </c>
      <c r="M55" s="37" t="str">
        <f>IF(OR(L12=0,L12=""),"",L55/L12)</f>
        <v/>
      </c>
    </row>
    <row r="56" spans="1:13" x14ac:dyDescent="0.2">
      <c r="A56" s="32" t="s">
        <v>203</v>
      </c>
      <c r="B56" s="33">
        <f>B31+B55</f>
        <v>0</v>
      </c>
      <c r="C56" s="34" t="str">
        <f>IF(OR(B12=0,B12=""),"",B56/B12)</f>
        <v/>
      </c>
      <c r="D56" s="33">
        <f>D31+D55</f>
        <v>0</v>
      </c>
      <c r="E56" s="34" t="str">
        <f>IF(OR(D12=0,D12=""),"",D56/D12)</f>
        <v/>
      </c>
      <c r="F56" s="33">
        <f>F31+F55</f>
        <v>0</v>
      </c>
      <c r="G56" s="34" t="str">
        <f>IF(OR(F12=0,F12=""),"",F56/F12)</f>
        <v/>
      </c>
      <c r="H56" s="33">
        <f>H31+H55</f>
        <v>0</v>
      </c>
      <c r="I56" s="34" t="str">
        <f>IF(OR(H12=0,H12=""),"",H56/H12)</f>
        <v/>
      </c>
      <c r="J56" s="33">
        <f>J31+J55</f>
        <v>0</v>
      </c>
      <c r="K56" s="34" t="str">
        <f>IF(OR(J12=0,J12=""),"",J56/J12)</f>
        <v/>
      </c>
      <c r="L56" s="33">
        <f>L31+L55</f>
        <v>0</v>
      </c>
      <c r="M56" s="34" t="str">
        <f>IF(OR(L12=0,L12=""),"",L56/L12)</f>
        <v/>
      </c>
    </row>
    <row r="57" spans="1:13" x14ac:dyDescent="0.2">
      <c r="A57" s="38" t="s">
        <v>204</v>
      </c>
      <c r="B57" s="39">
        <f>B14-B55</f>
        <v>0</v>
      </c>
      <c r="C57" s="40" t="str">
        <f>IF(OR(B12=0,B12=""),"",B57/B12)</f>
        <v/>
      </c>
      <c r="D57" s="39">
        <f>D14-D55</f>
        <v>0</v>
      </c>
      <c r="E57" s="40" t="str">
        <f>IF(OR(D12=0,D12=""),"",D57/D12)</f>
        <v/>
      </c>
      <c r="F57" s="39">
        <f>F14-F55</f>
        <v>0</v>
      </c>
      <c r="G57" s="40" t="str">
        <f>IF(OR(F12=0,F12=""),"",F57/F12)</f>
        <v/>
      </c>
      <c r="H57" s="39">
        <f>H14-H55</f>
        <v>0</v>
      </c>
      <c r="I57" s="40" t="str">
        <f>IF(OR(H12=0,H12=""),"",H57/H12)</f>
        <v/>
      </c>
      <c r="J57" s="39">
        <f>J14-J55</f>
        <v>0</v>
      </c>
      <c r="K57" s="40" t="str">
        <f>IF(OR(J12=0,J12=""),"",J57/J12)</f>
        <v/>
      </c>
      <c r="L57" s="39">
        <f>L14-L55</f>
        <v>0</v>
      </c>
      <c r="M57" s="40" t="str">
        <f>IF(OR(L12=0,L12=""),"",L57/L12)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M55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319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129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320</v>
      </c>
      <c r="B8" s="26"/>
      <c r="C8" s="31" t="str">
        <f>IF(OR(B10=0,B10=""),"",B8/B10)</f>
        <v/>
      </c>
      <c r="D8" s="26"/>
      <c r="E8" s="31" t="str">
        <f>IF(OR(D10=0,D10=""),"",D8/D10)</f>
        <v/>
      </c>
      <c r="F8" s="26"/>
      <c r="G8" s="31" t="str">
        <f>IF(OR(F10=0,F10=""),"",F8/F10)</f>
        <v/>
      </c>
      <c r="H8" s="26"/>
      <c r="I8" s="31" t="str">
        <f>IF(OR(H10=0,H10=""),"",H8/H10)</f>
        <v/>
      </c>
      <c r="J8" s="26"/>
      <c r="K8" s="31" t="str">
        <f>IF(OR(J10=0,J10=""),"",J8/J10)</f>
        <v/>
      </c>
      <c r="L8" s="26"/>
      <c r="M8" s="31" t="str">
        <f>IF(OR(L10=0,L10=""),"",L8/L10)</f>
        <v/>
      </c>
    </row>
    <row r="9" spans="1:13" x14ac:dyDescent="0.2">
      <c r="A9" s="25" t="s">
        <v>146</v>
      </c>
      <c r="B9" s="26"/>
      <c r="C9" s="31" t="str">
        <f>IF(OR(B10=0,B10=""),"",B9/B10)</f>
        <v/>
      </c>
      <c r="D9" s="26"/>
      <c r="E9" s="31" t="str">
        <f>IF(OR(D10=0,D10=""),"",D9/D10)</f>
        <v/>
      </c>
      <c r="F9" s="26"/>
      <c r="G9" s="31" t="str">
        <f>IF(OR(F10=0,F10=""),"",F9/F10)</f>
        <v/>
      </c>
      <c r="H9" s="26"/>
      <c r="I9" s="31" t="str">
        <f>IF(OR(H10=0,H10=""),"",H9/H10)</f>
        <v/>
      </c>
      <c r="J9" s="26"/>
      <c r="K9" s="31" t="str">
        <f>IF(OR(J10=0,J10=""),"",J9/J10)</f>
        <v/>
      </c>
      <c r="L9" s="26"/>
      <c r="M9" s="31" t="str">
        <f>IF(OR(L10=0,L10=""),"",L9/L10)</f>
        <v/>
      </c>
    </row>
    <row r="10" spans="1:13" x14ac:dyDescent="0.2">
      <c r="A10" s="32" t="s">
        <v>321</v>
      </c>
      <c r="B10" s="33">
        <f>B8-B9</f>
        <v>0</v>
      </c>
      <c r="C10" s="34" t="str">
        <f>IF(OR(B10=0,B10=""),"",B10/B10)</f>
        <v/>
      </c>
      <c r="D10" s="33">
        <f>D8-D9</f>
        <v>0</v>
      </c>
      <c r="E10" s="34" t="str">
        <f>IF(OR(D10=0,D10=""),"",D10/D10)</f>
        <v/>
      </c>
      <c r="F10" s="33">
        <f>F8-F9</f>
        <v>0</v>
      </c>
      <c r="G10" s="34" t="str">
        <f>IF(OR(F10=0,F10=""),"",F10/F10)</f>
        <v/>
      </c>
      <c r="H10" s="33">
        <f>H8-H9</f>
        <v>0</v>
      </c>
      <c r="I10" s="34" t="str">
        <f>IF(OR(H10=0,H10=""),"",H10/H10)</f>
        <v/>
      </c>
      <c r="J10" s="33">
        <f>J8-J9</f>
        <v>0</v>
      </c>
      <c r="K10" s="34" t="str">
        <f>IF(OR(J10=0,J10=""),"",J10/J10)</f>
        <v/>
      </c>
      <c r="L10" s="33">
        <f>L8-L9</f>
        <v>0</v>
      </c>
      <c r="M10" s="34" t="str">
        <f>IF(OR(L10=0,L10=""),"",L10/L10)</f>
        <v/>
      </c>
    </row>
    <row r="11" spans="1:13" x14ac:dyDescent="0.2">
      <c r="A11" s="25" t="s">
        <v>283</v>
      </c>
      <c r="B11" s="26"/>
      <c r="C11" s="31" t="str">
        <f>IF(OR(B10=0,B10=""),"",B11/B10)</f>
        <v/>
      </c>
      <c r="D11" s="26"/>
      <c r="E11" s="31" t="str">
        <f>IF(OR(D10=0,D10=""),"",D11/D10)</f>
        <v/>
      </c>
      <c r="F11" s="26"/>
      <c r="G11" s="31" t="str">
        <f>IF(OR(F10=0,F10=""),"",F11/F10)</f>
        <v/>
      </c>
      <c r="H11" s="26"/>
      <c r="I11" s="31" t="str">
        <f>IF(OR(H10=0,H10=""),"",H11/H10)</f>
        <v/>
      </c>
      <c r="J11" s="26"/>
      <c r="K11" s="31" t="str">
        <f>IF(OR(J10=0,J10=""),"",J11/J10)</f>
        <v/>
      </c>
      <c r="L11" s="26"/>
      <c r="M11" s="31" t="str">
        <f>IF(OR(L10=0,L10=""),"",L11/L10)</f>
        <v/>
      </c>
    </row>
    <row r="12" spans="1:13" x14ac:dyDescent="0.2">
      <c r="A12" s="35" t="s">
        <v>241</v>
      </c>
      <c r="B12" s="36">
        <f>B10-B11</f>
        <v>0</v>
      </c>
      <c r="C12" s="37" t="str">
        <f>IF(OR(B10=0,B10=""),"",B12/B10)</f>
        <v/>
      </c>
      <c r="D12" s="36">
        <f>D10-D11</f>
        <v>0</v>
      </c>
      <c r="E12" s="37" t="str">
        <f>IF(OR(D10=0,D10=""),"",D12/D10)</f>
        <v/>
      </c>
      <c r="F12" s="36">
        <f>F10-F11</f>
        <v>0</v>
      </c>
      <c r="G12" s="37" t="str">
        <f>IF(OR(F10=0,F10=""),"",F12/F10)</f>
        <v/>
      </c>
      <c r="H12" s="36">
        <f>H10-H11</f>
        <v>0</v>
      </c>
      <c r="I12" s="37" t="str">
        <f>IF(OR(H10=0,H10=""),"",H12/H10)</f>
        <v/>
      </c>
      <c r="J12" s="36">
        <f>J10-J11</f>
        <v>0</v>
      </c>
      <c r="K12" s="37" t="str">
        <f>IF(OR(J10=0,J10=""),"",J12/J10)</f>
        <v/>
      </c>
      <c r="L12" s="36">
        <f>L10-L11</f>
        <v>0</v>
      </c>
      <c r="M12" s="37" t="str">
        <f>IF(OR(L10=0,L10=""),"",L12/L10)</f>
        <v/>
      </c>
    </row>
    <row r="13" spans="1:13" x14ac:dyDescent="0.2">
      <c r="A13" s="23" t="s">
        <v>148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x14ac:dyDescent="0.2">
      <c r="A14" s="23" t="s">
        <v>149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x14ac:dyDescent="0.2">
      <c r="A15" s="23" t="s">
        <v>150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2">
      <c r="A16" s="23" t="s">
        <v>151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x14ac:dyDescent="0.2">
      <c r="A17" s="25" t="s">
        <v>152</v>
      </c>
      <c r="B17" s="26"/>
      <c r="D17" s="26"/>
      <c r="F17" s="26"/>
      <c r="H17" s="26"/>
      <c r="J17" s="26"/>
      <c r="L17" s="26"/>
    </row>
    <row r="18" spans="1:13" x14ac:dyDescent="0.2">
      <c r="A18" s="25" t="s">
        <v>153</v>
      </c>
      <c r="B18" s="26"/>
      <c r="D18" s="26"/>
      <c r="F18" s="26"/>
      <c r="H18" s="26"/>
      <c r="J18" s="26"/>
      <c r="L18" s="26"/>
    </row>
    <row r="19" spans="1:13" x14ac:dyDescent="0.2">
      <c r="A19" s="35" t="s">
        <v>160</v>
      </c>
      <c r="B19" s="36">
        <f>B17+B18</f>
        <v>0</v>
      </c>
      <c r="C19" s="41"/>
      <c r="D19" s="36">
        <f>D17+D18</f>
        <v>0</v>
      </c>
      <c r="E19" s="41"/>
      <c r="F19" s="36">
        <f>F17+F18</f>
        <v>0</v>
      </c>
      <c r="G19" s="41"/>
      <c r="H19" s="36">
        <f>H17+H18</f>
        <v>0</v>
      </c>
      <c r="I19" s="41"/>
      <c r="J19" s="36">
        <f>J17+J18</f>
        <v>0</v>
      </c>
      <c r="K19" s="41"/>
      <c r="L19" s="36">
        <f>L17+L18</f>
        <v>0</v>
      </c>
      <c r="M19" s="41"/>
    </row>
    <row r="20" spans="1:13" x14ac:dyDescent="0.2">
      <c r="A20" s="25" t="s">
        <v>161</v>
      </c>
      <c r="B20" s="26"/>
      <c r="D20" s="26"/>
      <c r="F20" s="26"/>
      <c r="H20" s="26"/>
      <c r="J20" s="26"/>
      <c r="L20" s="26"/>
    </row>
    <row r="21" spans="1:13" x14ac:dyDescent="0.2">
      <c r="A21" s="25" t="s">
        <v>162</v>
      </c>
      <c r="B21" s="26"/>
      <c r="D21" s="26"/>
      <c r="F21" s="26"/>
      <c r="H21" s="26"/>
      <c r="J21" s="26"/>
      <c r="L21" s="26"/>
    </row>
    <row r="22" spans="1:13" x14ac:dyDescent="0.2">
      <c r="A22" s="25" t="s">
        <v>163</v>
      </c>
      <c r="B22" s="26"/>
      <c r="D22" s="26"/>
      <c r="F22" s="26"/>
      <c r="H22" s="26"/>
      <c r="J22" s="26"/>
      <c r="L22" s="26"/>
    </row>
    <row r="23" spans="1:13" x14ac:dyDescent="0.2">
      <c r="A23" s="35" t="s">
        <v>164</v>
      </c>
      <c r="B23" s="36">
        <f>B19+B20+B21+B22</f>
        <v>0</v>
      </c>
      <c r="C23" s="37" t="str">
        <f>IF(OR(B10=0,B10=""),"",B23/B10)</f>
        <v/>
      </c>
      <c r="D23" s="36">
        <f>D19+D20+D21+D22</f>
        <v>0</v>
      </c>
      <c r="E23" s="37" t="str">
        <f>IF(OR(D10=0,D10=""),"",D23/D10)</f>
        <v/>
      </c>
      <c r="F23" s="36">
        <f>F19+F20+F21+F22</f>
        <v>0</v>
      </c>
      <c r="G23" s="37" t="str">
        <f>IF(OR(F10=0,F10=""),"",F23/F10)</f>
        <v/>
      </c>
      <c r="H23" s="36">
        <f>H19+H20+H21+H22</f>
        <v>0</v>
      </c>
      <c r="I23" s="37" t="str">
        <f>IF(OR(H10=0,H10=""),"",H23/H10)</f>
        <v/>
      </c>
      <c r="J23" s="36">
        <f>J19+J20+J21+J22</f>
        <v>0</v>
      </c>
      <c r="K23" s="37" t="str">
        <f>IF(OR(J10=0,J10=""),"",J23/J10)</f>
        <v/>
      </c>
      <c r="L23" s="36">
        <f>L19+L20+L21+L22</f>
        <v>0</v>
      </c>
      <c r="M23" s="37" t="str">
        <f>IF(OR(L10=0,L10=""),"",L23/L10)</f>
        <v/>
      </c>
    </row>
    <row r="24" spans="1:13" x14ac:dyDescent="0.2">
      <c r="A24" s="23" t="s">
        <v>165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2">
      <c r="A25" s="25" t="s">
        <v>166</v>
      </c>
      <c r="B25" s="26"/>
      <c r="C25" s="31" t="str">
        <f>IF(OR(B10=0,B10=""),"",B25/B10)</f>
        <v/>
      </c>
      <c r="D25" s="26"/>
      <c r="E25" s="31" t="str">
        <f>IF(OR(D10=0,D10=""),"",D25/D10)</f>
        <v/>
      </c>
      <c r="F25" s="26"/>
      <c r="G25" s="31" t="str">
        <f>IF(OR(F10=0,F10=""),"",F25/F10)</f>
        <v/>
      </c>
      <c r="H25" s="26"/>
      <c r="I25" s="31" t="str">
        <f>IF(OR(H10=0,H10=""),"",H25/H10)</f>
        <v/>
      </c>
      <c r="J25" s="26"/>
      <c r="K25" s="31" t="str">
        <f>IF(OR(J10=0,J10=""),"",J25/J10)</f>
        <v/>
      </c>
      <c r="L25" s="26"/>
      <c r="M25" s="31" t="str">
        <f>IF(OR(L10=0,L10=""),"",L25/L10)</f>
        <v/>
      </c>
    </row>
    <row r="26" spans="1:13" x14ac:dyDescent="0.2">
      <c r="A26" s="25" t="s">
        <v>167</v>
      </c>
      <c r="B26" s="26"/>
      <c r="C26" s="31" t="str">
        <f>IF(OR(B10=0,B10=""),"",B26/B10)</f>
        <v/>
      </c>
      <c r="D26" s="26"/>
      <c r="E26" s="31" t="str">
        <f>IF(OR(D10=0,D10=""),"",D26/D10)</f>
        <v/>
      </c>
      <c r="F26" s="26"/>
      <c r="G26" s="31" t="str">
        <f>IF(OR(F10=0,F10=""),"",F26/F10)</f>
        <v/>
      </c>
      <c r="H26" s="26"/>
      <c r="I26" s="31" t="str">
        <f>IF(OR(H10=0,H10=""),"",H26/H10)</f>
        <v/>
      </c>
      <c r="J26" s="26"/>
      <c r="K26" s="31" t="str">
        <f>IF(OR(J10=0,J10=""),"",J26/J10)</f>
        <v/>
      </c>
      <c r="L26" s="26"/>
      <c r="M26" s="31" t="str">
        <f>IF(OR(L10=0,L10=""),"",L26/L10)</f>
        <v/>
      </c>
    </row>
    <row r="27" spans="1:13" x14ac:dyDescent="0.2">
      <c r="A27" s="25" t="s">
        <v>168</v>
      </c>
      <c r="B27" s="26"/>
      <c r="C27" s="31" t="str">
        <f>IF(OR(B10=0,B10=""),"",B27/B10)</f>
        <v/>
      </c>
      <c r="D27" s="26"/>
      <c r="E27" s="31" t="str">
        <f>IF(OR(D10=0,D10=""),"",D27/D10)</f>
        <v/>
      </c>
      <c r="F27" s="26"/>
      <c r="G27" s="31" t="str">
        <f>IF(OR(F10=0,F10=""),"",F27/F10)</f>
        <v/>
      </c>
      <c r="H27" s="26"/>
      <c r="I27" s="31" t="str">
        <f>IF(OR(H10=0,H10=""),"",H27/H10)</f>
        <v/>
      </c>
      <c r="J27" s="26"/>
      <c r="K27" s="31" t="str">
        <f>IF(OR(J10=0,J10=""),"",J27/J10)</f>
        <v/>
      </c>
      <c r="L27" s="26"/>
      <c r="M27" s="31" t="str">
        <f>IF(OR(L10=0,L10=""),"",L27/L10)</f>
        <v/>
      </c>
    </row>
    <row r="28" spans="1:13" x14ac:dyDescent="0.2">
      <c r="A28" s="35" t="s">
        <v>169</v>
      </c>
      <c r="B28" s="36">
        <f>B25+B26+B27</f>
        <v>0</v>
      </c>
      <c r="C28" s="37" t="str">
        <f>IF(OR(B10=0,B10=""),"",B28/B10)</f>
        <v/>
      </c>
      <c r="D28" s="36">
        <f>D25+D26+D27</f>
        <v>0</v>
      </c>
      <c r="E28" s="37" t="str">
        <f>IF(OR(D10=0,D10=""),"",D28/D10)</f>
        <v/>
      </c>
      <c r="F28" s="36">
        <f>F25+F26+F27</f>
        <v>0</v>
      </c>
      <c r="G28" s="37" t="str">
        <f>IF(OR(F10=0,F10=""),"",F28/F10)</f>
        <v/>
      </c>
      <c r="H28" s="36">
        <f>H25+H26+H27</f>
        <v>0</v>
      </c>
      <c r="I28" s="37" t="str">
        <f>IF(OR(H10=0,H10=""),"",H28/H10)</f>
        <v/>
      </c>
      <c r="J28" s="36">
        <f>J25+J26+J27</f>
        <v>0</v>
      </c>
      <c r="K28" s="37" t="str">
        <f>IF(OR(J10=0,J10=""),"",J28/J10)</f>
        <v/>
      </c>
      <c r="L28" s="36">
        <f>L25+L26+L27</f>
        <v>0</v>
      </c>
      <c r="M28" s="37" t="str">
        <f>IF(OR(L10=0,L10=""),"",L28/L10)</f>
        <v/>
      </c>
    </row>
    <row r="29" spans="1:13" x14ac:dyDescent="0.2">
      <c r="A29" s="35" t="s">
        <v>170</v>
      </c>
      <c r="B29" s="36">
        <f>B23+B28</f>
        <v>0</v>
      </c>
      <c r="C29" s="37" t="str">
        <f>IF(OR(B10=0,B10=""),"",B29/B10)</f>
        <v/>
      </c>
      <c r="D29" s="36">
        <f>D23+D28</f>
        <v>0</v>
      </c>
      <c r="E29" s="37" t="str">
        <f>IF(OR(D10=0,D10=""),"",D29/D10)</f>
        <v/>
      </c>
      <c r="F29" s="36">
        <f>F23+F28</f>
        <v>0</v>
      </c>
      <c r="G29" s="37" t="str">
        <f>IF(OR(F10=0,F10=""),"",F29/F10)</f>
        <v/>
      </c>
      <c r="H29" s="36">
        <f>H23+H28</f>
        <v>0</v>
      </c>
      <c r="I29" s="37" t="str">
        <f>IF(OR(H10=0,H10=""),"",H29/H10)</f>
        <v/>
      </c>
      <c r="J29" s="36">
        <f>J23+J28</f>
        <v>0</v>
      </c>
      <c r="K29" s="37" t="str">
        <f>IF(OR(J10=0,J10=""),"",J29/J10)</f>
        <v/>
      </c>
      <c r="L29" s="36">
        <f>L23+L28</f>
        <v>0</v>
      </c>
      <c r="M29" s="37" t="str">
        <f>IF(OR(L10=0,L10=""),"",L29/L10)</f>
        <v/>
      </c>
    </row>
    <row r="30" spans="1:13" x14ac:dyDescent="0.2">
      <c r="A30" s="23" t="s">
        <v>171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3" x14ac:dyDescent="0.2">
      <c r="A31" s="25" t="s">
        <v>172</v>
      </c>
      <c r="B31" s="26"/>
      <c r="C31" s="31" t="str">
        <f>IF(OR(B10=0,B10=""),"",B31/B10)</f>
        <v/>
      </c>
      <c r="D31" s="26"/>
      <c r="E31" s="31" t="str">
        <f>IF(OR(D10=0,D10=""),"",D31/D10)</f>
        <v/>
      </c>
      <c r="F31" s="26"/>
      <c r="G31" s="31" t="str">
        <f>IF(OR(F10=0,F10=""),"",F31/F10)</f>
        <v/>
      </c>
      <c r="H31" s="26"/>
      <c r="I31" s="31" t="str">
        <f>IF(OR(H10=0,H10=""),"",H31/H10)</f>
        <v/>
      </c>
      <c r="J31" s="26"/>
      <c r="K31" s="31" t="str">
        <f>IF(OR(J10=0,J10=""),"",J31/J10)</f>
        <v/>
      </c>
      <c r="L31" s="26"/>
      <c r="M31" s="31" t="str">
        <f>IF(OR(L10=0,L10=""),"",L31/L10)</f>
        <v/>
      </c>
    </row>
    <row r="32" spans="1:13" x14ac:dyDescent="0.2">
      <c r="A32" s="25" t="s">
        <v>173</v>
      </c>
      <c r="B32" s="26"/>
      <c r="C32" s="31" t="str">
        <f>IF(OR(B10=0,B10=""),"",B32/B10)</f>
        <v/>
      </c>
      <c r="D32" s="26"/>
      <c r="E32" s="31" t="str">
        <f>IF(OR(D10=0,D10=""),"",D32/D10)</f>
        <v/>
      </c>
      <c r="F32" s="26"/>
      <c r="G32" s="31" t="str">
        <f>IF(OR(F10=0,F10=""),"",F32/F10)</f>
        <v/>
      </c>
      <c r="H32" s="26"/>
      <c r="I32" s="31" t="str">
        <f>IF(OR(H10=0,H10=""),"",H32/H10)</f>
        <v/>
      </c>
      <c r="J32" s="26"/>
      <c r="K32" s="31" t="str">
        <f>IF(OR(J10=0,J10=""),"",J32/J10)</f>
        <v/>
      </c>
      <c r="L32" s="26"/>
      <c r="M32" s="31" t="str">
        <f>IF(OR(L10=0,L10=""),"",L32/L10)</f>
        <v/>
      </c>
    </row>
    <row r="33" spans="1:13" x14ac:dyDescent="0.2">
      <c r="A33" s="25" t="s">
        <v>178</v>
      </c>
      <c r="B33" s="26"/>
      <c r="C33" s="31" t="str">
        <f>IF(OR(B10=0,B10=""),"",B33/B10)</f>
        <v/>
      </c>
      <c r="D33" s="26"/>
      <c r="E33" s="31" t="str">
        <f>IF(OR(D10=0,D10=""),"",D33/D10)</f>
        <v/>
      </c>
      <c r="F33" s="26"/>
      <c r="G33" s="31" t="str">
        <f>IF(OR(F10=0,F10=""),"",F33/F10)</f>
        <v/>
      </c>
      <c r="H33" s="26"/>
      <c r="I33" s="31" t="str">
        <f>IF(OR(H10=0,H10=""),"",H33/H10)</f>
        <v/>
      </c>
      <c r="J33" s="26"/>
      <c r="K33" s="31" t="str">
        <f>IF(OR(J10=0,J10=""),"",J33/J10)</f>
        <v/>
      </c>
      <c r="L33" s="26"/>
      <c r="M33" s="31" t="str">
        <f>IF(OR(L10=0,L10=""),"",L33/L10)</f>
        <v/>
      </c>
    </row>
    <row r="34" spans="1:13" x14ac:dyDescent="0.2">
      <c r="A34" s="25" t="s">
        <v>179</v>
      </c>
      <c r="B34" s="26"/>
      <c r="C34" s="31" t="str">
        <f>IF(OR(B10=0,B10=""),"",B34/B10)</f>
        <v/>
      </c>
      <c r="D34" s="26"/>
      <c r="E34" s="31" t="str">
        <f>IF(OR(D10=0,D10=""),"",D34/D10)</f>
        <v/>
      </c>
      <c r="F34" s="26"/>
      <c r="G34" s="31" t="str">
        <f>IF(OR(F10=0,F10=""),"",F34/F10)</f>
        <v/>
      </c>
      <c r="H34" s="26"/>
      <c r="I34" s="31" t="str">
        <f>IF(OR(H10=0,H10=""),"",H34/H10)</f>
        <v/>
      </c>
      <c r="J34" s="26"/>
      <c r="K34" s="31" t="str">
        <f>IF(OR(J10=0,J10=""),"",J34/J10)</f>
        <v/>
      </c>
      <c r="L34" s="26"/>
      <c r="M34" s="31" t="str">
        <f>IF(OR(L10=0,L10=""),"",L34/L10)</f>
        <v/>
      </c>
    </row>
    <row r="35" spans="1:13" x14ac:dyDescent="0.2">
      <c r="A35" s="25" t="s">
        <v>180</v>
      </c>
      <c r="B35" s="26"/>
      <c r="C35" s="31" t="str">
        <f>IF(OR(B10=0,B10=""),"",B35/B10)</f>
        <v/>
      </c>
      <c r="D35" s="26"/>
      <c r="E35" s="31" t="str">
        <f>IF(OR(D10=0,D10=""),"",D35/D10)</f>
        <v/>
      </c>
      <c r="F35" s="26"/>
      <c r="G35" s="31" t="str">
        <f>IF(OR(F10=0,F10=""),"",F35/F10)</f>
        <v/>
      </c>
      <c r="H35" s="26"/>
      <c r="I35" s="31" t="str">
        <f>IF(OR(H10=0,H10=""),"",H35/H10)</f>
        <v/>
      </c>
      <c r="J35" s="26"/>
      <c r="K35" s="31" t="str">
        <f>IF(OR(J10=0,J10=""),"",J35/J10)</f>
        <v/>
      </c>
      <c r="L35" s="26"/>
      <c r="M35" s="31" t="str">
        <f>IF(OR(L10=0,L10=""),"",L35/L10)</f>
        <v/>
      </c>
    </row>
    <row r="36" spans="1:13" x14ac:dyDescent="0.2">
      <c r="A36" s="25" t="s">
        <v>181</v>
      </c>
      <c r="B36" s="26"/>
      <c r="C36" s="31" t="str">
        <f>IF(OR(B10=0,B10=""),"",B36/B10)</f>
        <v/>
      </c>
      <c r="D36" s="26"/>
      <c r="E36" s="31" t="str">
        <f>IF(OR(D10=0,D10=""),"",D36/D10)</f>
        <v/>
      </c>
      <c r="F36" s="26"/>
      <c r="G36" s="31" t="str">
        <f>IF(OR(F10=0,F10=""),"",F36/F10)</f>
        <v/>
      </c>
      <c r="H36" s="26"/>
      <c r="I36" s="31" t="str">
        <f>IF(OR(H10=0,H10=""),"",H36/H10)</f>
        <v/>
      </c>
      <c r="J36" s="26"/>
      <c r="K36" s="31" t="str">
        <f>IF(OR(J10=0,J10=""),"",J36/J10)</f>
        <v/>
      </c>
      <c r="L36" s="26"/>
      <c r="M36" s="31" t="str">
        <f>IF(OR(L10=0,L10=""),"",L36/L10)</f>
        <v/>
      </c>
    </row>
    <row r="37" spans="1:13" x14ac:dyDescent="0.2">
      <c r="A37" s="25" t="s">
        <v>182</v>
      </c>
      <c r="B37" s="26"/>
      <c r="C37" s="31" t="str">
        <f>IF(OR(B10=0,B10=""),"",B37/B10)</f>
        <v/>
      </c>
      <c r="D37" s="26"/>
      <c r="E37" s="31" t="str">
        <f>IF(OR(D10=0,D10=""),"",D37/D10)</f>
        <v/>
      </c>
      <c r="F37" s="26"/>
      <c r="G37" s="31" t="str">
        <f>IF(OR(F10=0,F10=""),"",F37/F10)</f>
        <v/>
      </c>
      <c r="H37" s="26"/>
      <c r="I37" s="31" t="str">
        <f>IF(OR(H10=0,H10=""),"",H37/H10)</f>
        <v/>
      </c>
      <c r="J37" s="26"/>
      <c r="K37" s="31" t="str">
        <f>IF(OR(J10=0,J10=""),"",J37/J10)</f>
        <v/>
      </c>
      <c r="L37" s="26"/>
      <c r="M37" s="31" t="str">
        <f>IF(OR(L10=0,L10=""),"",L37/L10)</f>
        <v/>
      </c>
    </row>
    <row r="38" spans="1:13" x14ac:dyDescent="0.2">
      <c r="A38" s="25" t="s">
        <v>183</v>
      </c>
      <c r="B38" s="26"/>
      <c r="C38" s="31" t="str">
        <f>IF(OR(B10=0,B10=""),"",B38/B10)</f>
        <v/>
      </c>
      <c r="D38" s="26"/>
      <c r="E38" s="31" t="str">
        <f>IF(OR(D10=0,D10=""),"",D38/D10)</f>
        <v/>
      </c>
      <c r="F38" s="26"/>
      <c r="G38" s="31" t="str">
        <f>IF(OR(F10=0,F10=""),"",F38/F10)</f>
        <v/>
      </c>
      <c r="H38" s="26"/>
      <c r="I38" s="31" t="str">
        <f>IF(OR(H10=0,H10=""),"",H38/H10)</f>
        <v/>
      </c>
      <c r="J38" s="26"/>
      <c r="K38" s="31" t="str">
        <f>IF(OR(J10=0,J10=""),"",J38/J10)</f>
        <v/>
      </c>
      <c r="L38" s="26"/>
      <c r="M38" s="31" t="str">
        <f>IF(OR(L10=0,L10=""),"",L38/L10)</f>
        <v/>
      </c>
    </row>
    <row r="39" spans="1:13" x14ac:dyDescent="0.2">
      <c r="A39" s="25" t="s">
        <v>184</v>
      </c>
      <c r="B39" s="26"/>
      <c r="C39" s="31" t="str">
        <f>IF(OR(B10=0,B10=""),"",B39/B10)</f>
        <v/>
      </c>
      <c r="D39" s="26"/>
      <c r="E39" s="31" t="str">
        <f>IF(OR(D10=0,D10=""),"",D39/D10)</f>
        <v/>
      </c>
      <c r="F39" s="26"/>
      <c r="G39" s="31" t="str">
        <f>IF(OR(F10=0,F10=""),"",F39/F10)</f>
        <v/>
      </c>
      <c r="H39" s="26"/>
      <c r="I39" s="31" t="str">
        <f>IF(OR(H10=0,H10=""),"",H39/H10)</f>
        <v/>
      </c>
      <c r="J39" s="26"/>
      <c r="K39" s="31" t="str">
        <f>IF(OR(J10=0,J10=""),"",J39/J10)</f>
        <v/>
      </c>
      <c r="L39" s="26"/>
      <c r="M39" s="31" t="str">
        <f>IF(OR(L10=0,L10=""),"",L39/L10)</f>
        <v/>
      </c>
    </row>
    <row r="40" spans="1:13" x14ac:dyDescent="0.2">
      <c r="A40" s="25" t="s">
        <v>188</v>
      </c>
      <c r="B40" s="26"/>
      <c r="C40" s="31" t="str">
        <f>IF(OR(B10=0,B10=""),"",B40/B10)</f>
        <v/>
      </c>
      <c r="D40" s="26"/>
      <c r="E40" s="31" t="str">
        <f>IF(OR(D10=0,D10=""),"",D40/D10)</f>
        <v/>
      </c>
      <c r="F40" s="26"/>
      <c r="G40" s="31" t="str">
        <f>IF(OR(F10=0,F10=""),"",F40/F10)</f>
        <v/>
      </c>
      <c r="H40" s="26"/>
      <c r="I40" s="31" t="str">
        <f>IF(OR(H10=0,H10=""),"",H40/H10)</f>
        <v/>
      </c>
      <c r="J40" s="26"/>
      <c r="K40" s="31" t="str">
        <f>IF(OR(J10=0,J10=""),"",J40/J10)</f>
        <v/>
      </c>
      <c r="L40" s="26"/>
      <c r="M40" s="31" t="str">
        <f>IF(OR(L10=0,L10=""),"",L40/L10)</f>
        <v/>
      </c>
    </row>
    <row r="41" spans="1:13" x14ac:dyDescent="0.2">
      <c r="A41" s="25" t="s">
        <v>189</v>
      </c>
      <c r="B41" s="26"/>
      <c r="C41" s="31" t="str">
        <f>IF(OR(B10=0,B10=""),"",B41/B10)</f>
        <v/>
      </c>
      <c r="D41" s="26"/>
      <c r="E41" s="31" t="str">
        <f>IF(OR(D10=0,D10=""),"",D41/D10)</f>
        <v/>
      </c>
      <c r="F41" s="26"/>
      <c r="G41" s="31" t="str">
        <f>IF(OR(F10=0,F10=""),"",F41/F10)</f>
        <v/>
      </c>
      <c r="H41" s="26"/>
      <c r="I41" s="31" t="str">
        <f>IF(OR(H10=0,H10=""),"",H41/H10)</f>
        <v/>
      </c>
      <c r="J41" s="26"/>
      <c r="K41" s="31" t="str">
        <f>IF(OR(J10=0,J10=""),"",J41/J10)</f>
        <v/>
      </c>
      <c r="L41" s="26"/>
      <c r="M41" s="31" t="str">
        <f>IF(OR(L10=0,L10=""),"",L41/L10)</f>
        <v/>
      </c>
    </row>
    <row r="42" spans="1:13" x14ac:dyDescent="0.2">
      <c r="A42" s="25" t="s">
        <v>190</v>
      </c>
      <c r="B42" s="26"/>
      <c r="C42" s="31" t="str">
        <f>IF(OR(B10=0,B10=""),"",B42/B10)</f>
        <v/>
      </c>
      <c r="D42" s="26"/>
      <c r="E42" s="31" t="str">
        <f>IF(OR(D10=0,D10=""),"",D42/D10)</f>
        <v/>
      </c>
      <c r="F42" s="26"/>
      <c r="G42" s="31" t="str">
        <f>IF(OR(F10=0,F10=""),"",F42/F10)</f>
        <v/>
      </c>
      <c r="H42" s="26"/>
      <c r="I42" s="31" t="str">
        <f>IF(OR(H10=0,H10=""),"",H42/H10)</f>
        <v/>
      </c>
      <c r="J42" s="26"/>
      <c r="K42" s="31" t="str">
        <f>IF(OR(J10=0,J10=""),"",J42/J10)</f>
        <v/>
      </c>
      <c r="L42" s="26"/>
      <c r="M42" s="31" t="str">
        <f>IF(OR(L10=0,L10=""),"",L42/L10)</f>
        <v/>
      </c>
    </row>
    <row r="43" spans="1:13" x14ac:dyDescent="0.2">
      <c r="A43" s="25" t="s">
        <v>106</v>
      </c>
      <c r="B43" s="26"/>
      <c r="C43" s="31" t="str">
        <f>IF(OR(B10=0,B10=""),"",B43/B10)</f>
        <v/>
      </c>
      <c r="D43" s="26"/>
      <c r="E43" s="31" t="str">
        <f>IF(OR(D10=0,D10=""),"",D43/D10)</f>
        <v/>
      </c>
      <c r="F43" s="26"/>
      <c r="G43" s="31" t="str">
        <f>IF(OR(F10=0,F10=""),"",F43/F10)</f>
        <v/>
      </c>
      <c r="H43" s="26"/>
      <c r="I43" s="31" t="str">
        <f>IF(OR(H10=0,H10=""),"",H43/H10)</f>
        <v/>
      </c>
      <c r="J43" s="26"/>
      <c r="K43" s="31" t="str">
        <f>IF(OR(J10=0,J10=""),"",J43/J10)</f>
        <v/>
      </c>
      <c r="L43" s="26"/>
      <c r="M43" s="31" t="str">
        <f>IF(OR(L10=0,L10=""),"",L43/L10)</f>
        <v/>
      </c>
    </row>
    <row r="44" spans="1:13" x14ac:dyDescent="0.2">
      <c r="A44" s="25" t="s">
        <v>191</v>
      </c>
      <c r="B44" s="26"/>
      <c r="C44" s="31" t="str">
        <f>IF(OR(B10=0,B10=""),"",B44/B10)</f>
        <v/>
      </c>
      <c r="D44" s="26"/>
      <c r="E44" s="31" t="str">
        <f>IF(OR(D10=0,D10=""),"",D44/D10)</f>
        <v/>
      </c>
      <c r="F44" s="26"/>
      <c r="G44" s="31" t="str">
        <f>IF(OR(F10=0,F10=""),"",F44/F10)</f>
        <v/>
      </c>
      <c r="H44" s="26"/>
      <c r="I44" s="31" t="str">
        <f>IF(OR(H10=0,H10=""),"",H44/H10)</f>
        <v/>
      </c>
      <c r="J44" s="26"/>
      <c r="K44" s="31" t="str">
        <f>IF(OR(J10=0,J10=""),"",J44/J10)</f>
        <v/>
      </c>
      <c r="L44" s="26"/>
      <c r="M44" s="31" t="str">
        <f>IF(OR(L10=0,L10=""),"",L44/L10)</f>
        <v/>
      </c>
    </row>
    <row r="45" spans="1:13" x14ac:dyDescent="0.2">
      <c r="A45" s="25" t="s">
        <v>192</v>
      </c>
      <c r="B45" s="26"/>
      <c r="C45" s="31" t="str">
        <f>IF(OR(B10=0,B10=""),"",B45/B10)</f>
        <v/>
      </c>
      <c r="D45" s="26"/>
      <c r="E45" s="31" t="str">
        <f>IF(OR(D10=0,D10=""),"",D45/D10)</f>
        <v/>
      </c>
      <c r="F45" s="26"/>
      <c r="G45" s="31" t="str">
        <f>IF(OR(F10=0,F10=""),"",F45/F10)</f>
        <v/>
      </c>
      <c r="H45" s="26"/>
      <c r="I45" s="31" t="str">
        <f>IF(OR(H10=0,H10=""),"",H45/H10)</f>
        <v/>
      </c>
      <c r="J45" s="26"/>
      <c r="K45" s="31" t="str">
        <f>IF(OR(J10=0,J10=""),"",J45/J10)</f>
        <v/>
      </c>
      <c r="L45" s="26"/>
      <c r="M45" s="31" t="str">
        <f>IF(OR(L10=0,L10=""),"",L45/L10)</f>
        <v/>
      </c>
    </row>
    <row r="46" spans="1:13" x14ac:dyDescent="0.2">
      <c r="A46" s="25" t="s">
        <v>194</v>
      </c>
      <c r="B46" s="26"/>
      <c r="C46" s="31" t="str">
        <f>IF(OR(B10=0,B10=""),"",B46/B10)</f>
        <v/>
      </c>
      <c r="D46" s="26"/>
      <c r="E46" s="31" t="str">
        <f>IF(OR(D10=0,D10=""),"",D46/D10)</f>
        <v/>
      </c>
      <c r="F46" s="26"/>
      <c r="G46" s="31" t="str">
        <f>IF(OR(F10=0,F10=""),"",F46/F10)</f>
        <v/>
      </c>
      <c r="H46" s="26"/>
      <c r="I46" s="31" t="str">
        <f>IF(OR(H10=0,H10=""),"",H46/H10)</f>
        <v/>
      </c>
      <c r="J46" s="26"/>
      <c r="K46" s="31" t="str">
        <f>IF(OR(J10=0,J10=""),"",J46/J10)</f>
        <v/>
      </c>
      <c r="L46" s="26"/>
      <c r="M46" s="31" t="str">
        <f>IF(OR(L10=0,L10=""),"",L46/L10)</f>
        <v/>
      </c>
    </row>
    <row r="47" spans="1:13" x14ac:dyDescent="0.2">
      <c r="A47" s="25" t="s">
        <v>196</v>
      </c>
      <c r="B47" s="26"/>
      <c r="C47" s="31" t="str">
        <f>IF(OR(B10=0,B10=""),"",B47/B10)</f>
        <v/>
      </c>
      <c r="D47" s="26"/>
      <c r="E47" s="31" t="str">
        <f>IF(OR(D10=0,D10=""),"",D47/D10)</f>
        <v/>
      </c>
      <c r="F47" s="26"/>
      <c r="G47" s="31" t="str">
        <f>IF(OR(F10=0,F10=""),"",F47/F10)</f>
        <v/>
      </c>
      <c r="H47" s="26"/>
      <c r="I47" s="31" t="str">
        <f>IF(OR(H10=0,H10=""),"",H47/H10)</f>
        <v/>
      </c>
      <c r="J47" s="26"/>
      <c r="K47" s="31" t="str">
        <f>IF(OR(J10=0,J10=""),"",J47/J10)</f>
        <v/>
      </c>
      <c r="L47" s="26"/>
      <c r="M47" s="31" t="str">
        <f>IF(OR(L10=0,L10=""),"",L47/L10)</f>
        <v/>
      </c>
    </row>
    <row r="48" spans="1:13" x14ac:dyDescent="0.2">
      <c r="A48" s="25" t="s">
        <v>197</v>
      </c>
      <c r="B48" s="26"/>
      <c r="C48" s="31" t="str">
        <f>IF(OR(B10=0,B10=""),"",B48/B10)</f>
        <v/>
      </c>
      <c r="D48" s="26"/>
      <c r="E48" s="31" t="str">
        <f>IF(OR(D10=0,D10=""),"",D48/D10)</f>
        <v/>
      </c>
      <c r="F48" s="26"/>
      <c r="G48" s="31" t="str">
        <f>IF(OR(F10=0,F10=""),"",F48/F10)</f>
        <v/>
      </c>
      <c r="H48" s="26"/>
      <c r="I48" s="31" t="str">
        <f>IF(OR(H10=0,H10=""),"",H48/H10)</f>
        <v/>
      </c>
      <c r="J48" s="26"/>
      <c r="K48" s="31" t="str">
        <f>IF(OR(J10=0,J10=""),"",J48/J10)</f>
        <v/>
      </c>
      <c r="L48" s="26"/>
      <c r="M48" s="31" t="str">
        <f>IF(OR(L10=0,L10=""),"",L48/L10)</f>
        <v/>
      </c>
    </row>
    <row r="49" spans="1:13" x14ac:dyDescent="0.2">
      <c r="A49" s="25" t="s">
        <v>198</v>
      </c>
      <c r="B49" s="26"/>
      <c r="C49" s="31" t="str">
        <f>IF(OR(B10=0,B10=""),"",B49/B10)</f>
        <v/>
      </c>
      <c r="D49" s="26"/>
      <c r="E49" s="31" t="str">
        <f>IF(OR(D10=0,D10=""),"",D49/D10)</f>
        <v/>
      </c>
      <c r="F49" s="26"/>
      <c r="G49" s="31" t="str">
        <f>IF(OR(F10=0,F10=""),"",F49/F10)</f>
        <v/>
      </c>
      <c r="H49" s="26"/>
      <c r="I49" s="31" t="str">
        <f>IF(OR(H10=0,H10=""),"",H49/H10)</f>
        <v/>
      </c>
      <c r="J49" s="26"/>
      <c r="K49" s="31" t="str">
        <f>IF(OR(J10=0,J10=""),"",J49/J10)</f>
        <v/>
      </c>
      <c r="L49" s="26"/>
      <c r="M49" s="31" t="str">
        <f>IF(OR(L10=0,L10=""),"",L49/L10)</f>
        <v/>
      </c>
    </row>
    <row r="50" spans="1:13" x14ac:dyDescent="0.2">
      <c r="A50" s="25" t="s">
        <v>199</v>
      </c>
      <c r="B50" s="26"/>
      <c r="C50" s="31" t="str">
        <f>IF(OR(B10=0,B10=""),"",B50/B10)</f>
        <v/>
      </c>
      <c r="D50" s="26"/>
      <c r="E50" s="31" t="str">
        <f>IF(OR(D10=0,D10=""),"",D50/D10)</f>
        <v/>
      </c>
      <c r="F50" s="26"/>
      <c r="G50" s="31" t="str">
        <f>IF(OR(F10=0,F10=""),"",F50/F10)</f>
        <v/>
      </c>
      <c r="H50" s="26"/>
      <c r="I50" s="31" t="str">
        <f>IF(OR(H10=0,H10=""),"",H50/H10)</f>
        <v/>
      </c>
      <c r="J50" s="26"/>
      <c r="K50" s="31" t="str">
        <f>IF(OR(J10=0,J10=""),"",J50/J10)</f>
        <v/>
      </c>
      <c r="L50" s="26"/>
      <c r="M50" s="31" t="str">
        <f>IF(OR(L10=0,L10=""),"",L50/L10)</f>
        <v/>
      </c>
    </row>
    <row r="51" spans="1:13" x14ac:dyDescent="0.2">
      <c r="A51" s="25" t="s">
        <v>200</v>
      </c>
      <c r="B51" s="26"/>
      <c r="C51" s="31" t="str">
        <f>IF(OR(B10=0,B10=""),"",B51/B10)</f>
        <v/>
      </c>
      <c r="D51" s="26"/>
      <c r="E51" s="31" t="str">
        <f>IF(OR(D10=0,D10=""),"",D51/D10)</f>
        <v/>
      </c>
      <c r="F51" s="26"/>
      <c r="G51" s="31" t="str">
        <f>IF(OR(F10=0,F10=""),"",F51/F10)</f>
        <v/>
      </c>
      <c r="H51" s="26"/>
      <c r="I51" s="31" t="str">
        <f>IF(OR(H10=0,H10=""),"",H51/H10)</f>
        <v/>
      </c>
      <c r="J51" s="26"/>
      <c r="K51" s="31" t="str">
        <f>IF(OR(J10=0,J10=""),"",J51/J10)</f>
        <v/>
      </c>
      <c r="L51" s="26"/>
      <c r="M51" s="31" t="str">
        <f>IF(OR(L10=0,L10=""),"",L51/L10)</f>
        <v/>
      </c>
    </row>
    <row r="52" spans="1:13" x14ac:dyDescent="0.2">
      <c r="A52" s="25" t="s">
        <v>201</v>
      </c>
      <c r="B52" s="26"/>
      <c r="C52" s="31" t="str">
        <f>IF(OR(B10=0,B10=""),"",B52/B10)</f>
        <v/>
      </c>
      <c r="D52" s="26"/>
      <c r="E52" s="31" t="str">
        <f>IF(OR(D10=0,D10=""),"",D52/D10)</f>
        <v/>
      </c>
      <c r="F52" s="26"/>
      <c r="G52" s="31" t="str">
        <f>IF(OR(F10=0,F10=""),"",F52/F10)</f>
        <v/>
      </c>
      <c r="H52" s="26"/>
      <c r="I52" s="31" t="str">
        <f>IF(OR(H10=0,H10=""),"",H52/H10)</f>
        <v/>
      </c>
      <c r="J52" s="26"/>
      <c r="K52" s="31" t="str">
        <f>IF(OR(J10=0,J10=""),"",J52/J10)</f>
        <v/>
      </c>
      <c r="L52" s="26"/>
      <c r="M52" s="31" t="str">
        <f>IF(OR(L10=0,L10=""),"",L52/L10)</f>
        <v/>
      </c>
    </row>
    <row r="53" spans="1:13" x14ac:dyDescent="0.2">
      <c r="A53" s="35" t="s">
        <v>202</v>
      </c>
      <c r="B53" s="36">
        <f>B31+B32+B33+B34+B35+B36+B37+B38+B39+B40+B41+B42+B43+B44+B45+B46+B47+B48+B49+B50+B51+B52</f>
        <v>0</v>
      </c>
      <c r="C53" s="37" t="str">
        <f>IF(OR(B10=0,B10=""),"",B53/B10)</f>
        <v/>
      </c>
      <c r="D53" s="36">
        <f>D31+D32+D33+D34+D35+D36+D37+D38+D39+D40+D41+D42+D43+D44+D45+D46+D47+D48+D49+D50+D51+D52</f>
        <v>0</v>
      </c>
      <c r="E53" s="37" t="str">
        <f>IF(OR(D10=0,D10=""),"",D53/D10)</f>
        <v/>
      </c>
      <c r="F53" s="36">
        <f>F31+F32+F33+F34+F35+F36+F37+F38+F39+F40+F41+F42+F43+F44+F45+F46+F47+F48+F49+F50+F51+F52</f>
        <v>0</v>
      </c>
      <c r="G53" s="37" t="str">
        <f>IF(OR(F10=0,F10=""),"",F53/F10)</f>
        <v/>
      </c>
      <c r="H53" s="36">
        <f>H31+H32+H33+H34+H35+H36+H37+H38+H39+H40+H41+H42+H43+H44+H45+H46+H47+H48+H49+H50+H51+H52</f>
        <v>0</v>
      </c>
      <c r="I53" s="37" t="str">
        <f>IF(OR(H10=0,H10=""),"",H53/H10)</f>
        <v/>
      </c>
      <c r="J53" s="36">
        <f>J31+J32+J33+J34+J35+J36+J37+J38+J39+J40+J41+J42+J43+J44+J45+J46+J47+J48+J49+J50+J51+J52</f>
        <v>0</v>
      </c>
      <c r="K53" s="37" t="str">
        <f>IF(OR(J10=0,J10=""),"",J53/J10)</f>
        <v/>
      </c>
      <c r="L53" s="36">
        <f>L31+L32+L33+L34+L35+L36+L37+L38+L39+L40+L41+L42+L43+L44+L45+L46+L47+L48+L49+L50+L51+L52</f>
        <v>0</v>
      </c>
      <c r="M53" s="37" t="str">
        <f>IF(OR(L10=0,L10=""),"",L53/L10)</f>
        <v/>
      </c>
    </row>
    <row r="54" spans="1:13" x14ac:dyDescent="0.2">
      <c r="A54" s="32" t="s">
        <v>203</v>
      </c>
      <c r="B54" s="33">
        <f>B29+B53</f>
        <v>0</v>
      </c>
      <c r="C54" s="34" t="str">
        <f>IF(OR(B10=0,B10=""),"",B54/B10)</f>
        <v/>
      </c>
      <c r="D54" s="33">
        <f>D29+D53</f>
        <v>0</v>
      </c>
      <c r="E54" s="34" t="str">
        <f>IF(OR(D10=0,D10=""),"",D54/D10)</f>
        <v/>
      </c>
      <c r="F54" s="33">
        <f>F29+F53</f>
        <v>0</v>
      </c>
      <c r="G54" s="34" t="str">
        <f>IF(OR(F10=0,F10=""),"",F54/F10)</f>
        <v/>
      </c>
      <c r="H54" s="33">
        <f>H29+H53</f>
        <v>0</v>
      </c>
      <c r="I54" s="34" t="str">
        <f>IF(OR(H10=0,H10=""),"",H54/H10)</f>
        <v/>
      </c>
      <c r="J54" s="33">
        <f>J29+J53</f>
        <v>0</v>
      </c>
      <c r="K54" s="34" t="str">
        <f>IF(OR(J10=0,J10=""),"",J54/J10)</f>
        <v/>
      </c>
      <c r="L54" s="33">
        <f>L29+L53</f>
        <v>0</v>
      </c>
      <c r="M54" s="34" t="str">
        <f>IF(OR(L10=0,L10=""),"",L54/L10)</f>
        <v/>
      </c>
    </row>
    <row r="55" spans="1:13" x14ac:dyDescent="0.2">
      <c r="A55" s="38" t="s">
        <v>204</v>
      </c>
      <c r="B55" s="39">
        <f>B12-B53</f>
        <v>0</v>
      </c>
      <c r="C55" s="40" t="str">
        <f>IF(OR(B10=0,B10=""),"",B55/B10)</f>
        <v/>
      </c>
      <c r="D55" s="39">
        <f>D12-D53</f>
        <v>0</v>
      </c>
      <c r="E55" s="40" t="str">
        <f>IF(OR(D10=0,D10=""),"",D55/D10)</f>
        <v/>
      </c>
      <c r="F55" s="39">
        <f>F12-F53</f>
        <v>0</v>
      </c>
      <c r="G55" s="40" t="str">
        <f>IF(OR(F10=0,F10=""),"",F55/F10)</f>
        <v/>
      </c>
      <c r="H55" s="39">
        <f>H12-H53</f>
        <v>0</v>
      </c>
      <c r="I55" s="40" t="str">
        <f>IF(OR(H10=0,H10=""),"",H55/H10)</f>
        <v/>
      </c>
      <c r="J55" s="39">
        <f>J12-J53</f>
        <v>0</v>
      </c>
      <c r="K55" s="40" t="str">
        <f>IF(OR(J10=0,J10=""),"",J55/J10)</f>
        <v/>
      </c>
      <c r="L55" s="39">
        <f>L12-L53</f>
        <v>0</v>
      </c>
      <c r="M55" s="40" t="str">
        <f>IF(OR(L10=0,L10=""),"",L55/L10)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</sheetPr>
  <dimension ref="A1:M25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323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260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324</v>
      </c>
      <c r="B8" s="26"/>
      <c r="C8" s="31" t="str">
        <f>IF(OR(B13=0,B13=""),"",B8/B13)</f>
        <v/>
      </c>
      <c r="D8" s="26"/>
      <c r="E8" s="31" t="str">
        <f>IF(OR(D13=0,D13=""),"",D8/D13)</f>
        <v/>
      </c>
      <c r="F8" s="26"/>
      <c r="G8" s="31" t="str">
        <f>IF(OR(F13=0,F13=""),"",F8/F13)</f>
        <v/>
      </c>
      <c r="H8" s="26"/>
      <c r="I8" s="31" t="str">
        <f>IF(OR(H13=0,H13=""),"",H8/H13)</f>
        <v/>
      </c>
      <c r="J8" s="26"/>
      <c r="K8" s="31" t="str">
        <f>IF(OR(J13=0,J13=""),"",J8/J13)</f>
        <v/>
      </c>
      <c r="L8" s="26"/>
      <c r="M8" s="31" t="str">
        <f>IF(OR(L13=0,L13=""),"",L8/L13)</f>
        <v/>
      </c>
    </row>
    <row r="9" spans="1:13" x14ac:dyDescent="0.2">
      <c r="A9" s="25" t="s">
        <v>325</v>
      </c>
      <c r="B9" s="26"/>
      <c r="C9" s="31" t="str">
        <f>IF(OR(B13=0,B13=""),"",B9/B13)</f>
        <v/>
      </c>
      <c r="D9" s="26"/>
      <c r="E9" s="31" t="str">
        <f>IF(OR(D13=0,D13=""),"",D9/D13)</f>
        <v/>
      </c>
      <c r="F9" s="26"/>
      <c r="G9" s="31" t="str">
        <f>IF(OR(F13=0,F13=""),"",F9/F13)</f>
        <v/>
      </c>
      <c r="H9" s="26"/>
      <c r="I9" s="31" t="str">
        <f>IF(OR(H13=0,H13=""),"",H9/H13)</f>
        <v/>
      </c>
      <c r="J9" s="26"/>
      <c r="K9" s="31" t="str">
        <f>IF(OR(J13=0,J13=""),"",J9/J13)</f>
        <v/>
      </c>
      <c r="L9" s="26"/>
      <c r="M9" s="31" t="str">
        <f>IF(OR(L13=0,L13=""),"",L9/L13)</f>
        <v/>
      </c>
    </row>
    <row r="10" spans="1:13" x14ac:dyDescent="0.2">
      <c r="A10" s="25" t="s">
        <v>326</v>
      </c>
      <c r="B10" s="26"/>
      <c r="C10" s="31" t="str">
        <f>IF(OR(B13=0,B13=""),"",B10/B13)</f>
        <v/>
      </c>
      <c r="D10" s="26"/>
      <c r="E10" s="31" t="str">
        <f>IF(OR(D13=0,D13=""),"",D10/D13)</f>
        <v/>
      </c>
      <c r="F10" s="26"/>
      <c r="G10" s="31" t="str">
        <f>IF(OR(F13=0,F13=""),"",F10/F13)</f>
        <v/>
      </c>
      <c r="H10" s="26"/>
      <c r="I10" s="31" t="str">
        <f>IF(OR(H13=0,H13=""),"",H10/H13)</f>
        <v/>
      </c>
      <c r="J10" s="26"/>
      <c r="K10" s="31" t="str">
        <f>IF(OR(J13=0,J13=""),"",J10/J13)</f>
        <v/>
      </c>
      <c r="L10" s="26"/>
      <c r="M10" s="31" t="str">
        <f>IF(OR(L13=0,L13=""),"",L10/L13)</f>
        <v/>
      </c>
    </row>
    <row r="11" spans="1:13" x14ac:dyDescent="0.2">
      <c r="A11" s="25" t="s">
        <v>327</v>
      </c>
      <c r="B11" s="26"/>
      <c r="C11" s="31" t="str">
        <f>IF(OR(B13=0,B13=""),"",B11/B13)</f>
        <v/>
      </c>
      <c r="D11" s="26"/>
      <c r="E11" s="31" t="str">
        <f>IF(OR(D13=0,D13=""),"",D11/D13)</f>
        <v/>
      </c>
      <c r="F11" s="26"/>
      <c r="G11" s="31" t="str">
        <f>IF(OR(F13=0,F13=""),"",F11/F13)</f>
        <v/>
      </c>
      <c r="H11" s="26"/>
      <c r="I11" s="31" t="str">
        <f>IF(OR(H13=0,H13=""),"",H11/H13)</f>
        <v/>
      </c>
      <c r="J11" s="26"/>
      <c r="K11" s="31" t="str">
        <f>IF(OR(J13=0,J13=""),"",J11/J13)</f>
        <v/>
      </c>
      <c r="L11" s="26"/>
      <c r="M11" s="31" t="str">
        <f>IF(OR(L13=0,L13=""),"",L11/L13)</f>
        <v/>
      </c>
    </row>
    <row r="12" spans="1:13" x14ac:dyDescent="0.2">
      <c r="A12" s="25" t="s">
        <v>146</v>
      </c>
      <c r="B12" s="26"/>
      <c r="C12" s="31" t="str">
        <f>IF(OR(B13=0,B13=""),"",B12/B13)</f>
        <v/>
      </c>
      <c r="D12" s="26"/>
      <c r="E12" s="31" t="str">
        <f>IF(OR(D13=0,D13=""),"",D12/D13)</f>
        <v/>
      </c>
      <c r="F12" s="26"/>
      <c r="G12" s="31" t="str">
        <f>IF(OR(F13=0,F13=""),"",F12/F13)</f>
        <v/>
      </c>
      <c r="H12" s="26"/>
      <c r="I12" s="31" t="str">
        <f>IF(OR(H13=0,H13=""),"",H12/H13)</f>
        <v/>
      </c>
      <c r="J12" s="26"/>
      <c r="K12" s="31" t="str">
        <f>IF(OR(J13=0,J13=""),"",J12/J13)</f>
        <v/>
      </c>
      <c r="L12" s="26"/>
      <c r="M12" s="31" t="str">
        <f>IF(OR(L13=0,L13=""),"",L12/L13)</f>
        <v/>
      </c>
    </row>
    <row r="13" spans="1:13" x14ac:dyDescent="0.2">
      <c r="A13" s="32" t="s">
        <v>266</v>
      </c>
      <c r="B13" s="33">
        <f>B8+B9+B10+B11-B12</f>
        <v>0</v>
      </c>
      <c r="C13" s="34" t="str">
        <f>IF(OR(B13=0,B13=""),"",B13/B13)</f>
        <v/>
      </c>
      <c r="D13" s="33">
        <f>D8+D9+D10+D11-D12</f>
        <v>0</v>
      </c>
      <c r="E13" s="34" t="str">
        <f>IF(OR(D13=0,D13=""),"",D13/D13)</f>
        <v/>
      </c>
      <c r="F13" s="33">
        <f>F8+F9+F10+F11-F12</f>
        <v>0</v>
      </c>
      <c r="G13" s="34" t="str">
        <f>IF(OR(F13=0,F13=""),"",F13/F13)</f>
        <v/>
      </c>
      <c r="H13" s="33">
        <f>H8+H9+H10+H11-H12</f>
        <v>0</v>
      </c>
      <c r="I13" s="34" t="str">
        <f>IF(OR(H13=0,H13=""),"",H13/H13)</f>
        <v/>
      </c>
      <c r="J13" s="33">
        <f>J8+J9+J10+J11-J12</f>
        <v>0</v>
      </c>
      <c r="K13" s="34" t="str">
        <f>IF(OR(J13=0,J13=""),"",J13/J13)</f>
        <v/>
      </c>
      <c r="L13" s="33">
        <f>L8+L9+L10+L11-L12</f>
        <v>0</v>
      </c>
      <c r="M13" s="34" t="str">
        <f>IF(OR(L13=0,L13=""),"",L13/L13)</f>
        <v/>
      </c>
    </row>
    <row r="14" spans="1:13" x14ac:dyDescent="0.2">
      <c r="A14" s="23" t="s">
        <v>267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x14ac:dyDescent="0.2">
      <c r="A15" s="25" t="s">
        <v>324</v>
      </c>
      <c r="B15" s="26"/>
      <c r="C15" s="31" t="str">
        <f>IF(OR(B13=0,B13=""),"",B15/B13)</f>
        <v/>
      </c>
      <c r="D15" s="26"/>
      <c r="E15" s="31" t="str">
        <f>IF(OR(D13=0,D13=""),"",D15/D13)</f>
        <v/>
      </c>
      <c r="F15" s="26"/>
      <c r="G15" s="31" t="str">
        <f>IF(OR(F13=0,F13=""),"",F15/F13)</f>
        <v/>
      </c>
      <c r="H15" s="26"/>
      <c r="I15" s="31" t="str">
        <f>IF(OR(H13=0,H13=""),"",H15/H13)</f>
        <v/>
      </c>
      <c r="J15" s="26"/>
      <c r="K15" s="31" t="str">
        <f>IF(OR(J13=0,J13=""),"",J15/J13)</f>
        <v/>
      </c>
      <c r="L15" s="26"/>
      <c r="M15" s="31" t="str">
        <f>IF(OR(L13=0,L13=""),"",L15/L13)</f>
        <v/>
      </c>
    </row>
    <row r="16" spans="1:13" x14ac:dyDescent="0.2">
      <c r="A16" s="25" t="s">
        <v>325</v>
      </c>
      <c r="B16" s="26"/>
      <c r="C16" s="31" t="str">
        <f>IF(OR(B13=0,B13=""),"",B16/B13)</f>
        <v/>
      </c>
      <c r="D16" s="26"/>
      <c r="E16" s="31" t="str">
        <f>IF(OR(D13=0,D13=""),"",D16/D13)</f>
        <v/>
      </c>
      <c r="F16" s="26"/>
      <c r="G16" s="31" t="str">
        <f>IF(OR(F13=0,F13=""),"",F16/F13)</f>
        <v/>
      </c>
      <c r="H16" s="26"/>
      <c r="I16" s="31" t="str">
        <f>IF(OR(H13=0,H13=""),"",H16/H13)</f>
        <v/>
      </c>
      <c r="J16" s="26"/>
      <c r="K16" s="31" t="str">
        <f>IF(OR(J13=0,J13=""),"",J16/J13)</f>
        <v/>
      </c>
      <c r="L16" s="26"/>
      <c r="M16" s="31" t="str">
        <f>IF(OR(L13=0,L13=""),"",L16/L13)</f>
        <v/>
      </c>
    </row>
    <row r="17" spans="1:13" x14ac:dyDescent="0.2">
      <c r="A17" s="25" t="s">
        <v>326</v>
      </c>
      <c r="B17" s="26"/>
      <c r="C17" s="31" t="str">
        <f>IF(OR(B13=0,B13=""),"",B17/B13)</f>
        <v/>
      </c>
      <c r="D17" s="26"/>
      <c r="E17" s="31" t="str">
        <f>IF(OR(D13=0,D13=""),"",D17/D13)</f>
        <v/>
      </c>
      <c r="F17" s="26"/>
      <c r="G17" s="31" t="str">
        <f>IF(OR(F13=0,F13=""),"",F17/F13)</f>
        <v/>
      </c>
      <c r="H17" s="26"/>
      <c r="I17" s="31" t="str">
        <f>IF(OR(H13=0,H13=""),"",H17/H13)</f>
        <v/>
      </c>
      <c r="J17" s="26"/>
      <c r="K17" s="31" t="str">
        <f>IF(OR(J13=0,J13=""),"",J17/J13)</f>
        <v/>
      </c>
      <c r="L17" s="26"/>
      <c r="M17" s="31" t="str">
        <f>IF(OR(L13=0,L13=""),"",L17/L13)</f>
        <v/>
      </c>
    </row>
    <row r="18" spans="1:13" x14ac:dyDescent="0.2">
      <c r="A18" s="25" t="s">
        <v>327</v>
      </c>
      <c r="B18" s="26"/>
      <c r="C18" s="31" t="str">
        <f>IF(OR(B13=0,B13=""),"",B18/B13)</f>
        <v/>
      </c>
      <c r="D18" s="26"/>
      <c r="E18" s="31" t="str">
        <f>IF(OR(D13=0,D13=""),"",D18/D13)</f>
        <v/>
      </c>
      <c r="F18" s="26"/>
      <c r="G18" s="31" t="str">
        <f>IF(OR(F13=0,F13=""),"",F18/F13)</f>
        <v/>
      </c>
      <c r="H18" s="26"/>
      <c r="I18" s="31" t="str">
        <f>IF(OR(H13=0,H13=""),"",H18/H13)</f>
        <v/>
      </c>
      <c r="J18" s="26"/>
      <c r="K18" s="31" t="str">
        <f>IF(OR(J13=0,J13=""),"",J18/J13)</f>
        <v/>
      </c>
      <c r="L18" s="26"/>
      <c r="M18" s="31" t="str">
        <f>IF(OR(L13=0,L13=""),"",L18/L13)</f>
        <v/>
      </c>
    </row>
    <row r="19" spans="1:13" x14ac:dyDescent="0.2">
      <c r="A19" s="32" t="s">
        <v>328</v>
      </c>
      <c r="B19" s="33">
        <f>B15+B16+B17+B18</f>
        <v>0</v>
      </c>
      <c r="C19" s="34" t="str">
        <f>IF(OR(B13=0,B13=""),"",B19/B13)</f>
        <v/>
      </c>
      <c r="D19" s="33">
        <f>D15+D16+D17+D18</f>
        <v>0</v>
      </c>
      <c r="E19" s="34" t="str">
        <f>IF(OR(D13=0,D13=""),"",D19/D13)</f>
        <v/>
      </c>
      <c r="F19" s="33">
        <f>F15+F16+F17+F18</f>
        <v>0</v>
      </c>
      <c r="G19" s="34" t="str">
        <f>IF(OR(F13=0,F13=""),"",F19/F13)</f>
        <v/>
      </c>
      <c r="H19" s="33">
        <f>H15+H16+H17+H18</f>
        <v>0</v>
      </c>
      <c r="I19" s="34" t="str">
        <f>IF(OR(H13=0,H13=""),"",H19/H13)</f>
        <v/>
      </c>
      <c r="J19" s="33">
        <f>J15+J16+J17+J18</f>
        <v>0</v>
      </c>
      <c r="K19" s="34" t="str">
        <f>IF(OR(J13=0,J13=""),"",J19/J13)</f>
        <v/>
      </c>
      <c r="L19" s="33">
        <f>L15+L16+L17+L18</f>
        <v>0</v>
      </c>
      <c r="M19" s="34" t="str">
        <f>IF(OR(L13=0,L13=""),"",L19/L13)</f>
        <v/>
      </c>
    </row>
    <row r="20" spans="1:13" x14ac:dyDescent="0.2">
      <c r="A20" s="23" t="s">
        <v>204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2">
      <c r="A21" s="25" t="s">
        <v>324</v>
      </c>
      <c r="B21" s="42">
        <f>B8-B15</f>
        <v>0</v>
      </c>
      <c r="C21" s="31" t="str">
        <f>IF(OR(B13=0,B13=""),"",B21/B13)</f>
        <v/>
      </c>
      <c r="D21" s="42">
        <f>D8-D15</f>
        <v>0</v>
      </c>
      <c r="E21" s="31" t="str">
        <f>IF(OR(D13=0,D13=""),"",D21/D13)</f>
        <v/>
      </c>
      <c r="F21" s="42">
        <f>F8-F15</f>
        <v>0</v>
      </c>
      <c r="G21" s="31" t="str">
        <f>IF(OR(F13=0,F13=""),"",F21/F13)</f>
        <v/>
      </c>
      <c r="H21" s="42">
        <f>H8-H15</f>
        <v>0</v>
      </c>
      <c r="I21" s="31" t="str">
        <f>IF(OR(H13=0,H13=""),"",H21/H13)</f>
        <v/>
      </c>
      <c r="J21" s="42">
        <f>J8-J15</f>
        <v>0</v>
      </c>
      <c r="K21" s="31" t="str">
        <f>IF(OR(J13=0,J13=""),"",J21/J13)</f>
        <v/>
      </c>
      <c r="L21" s="42">
        <f>L8-L15</f>
        <v>0</v>
      </c>
      <c r="M21" s="31" t="str">
        <f>IF(OR(L13=0,L13=""),"",L21/L13)</f>
        <v/>
      </c>
    </row>
    <row r="22" spans="1:13" x14ac:dyDescent="0.2">
      <c r="A22" s="25" t="s">
        <v>325</v>
      </c>
      <c r="B22" s="42">
        <f>B9-B16</f>
        <v>0</v>
      </c>
      <c r="C22" s="31" t="str">
        <f>IF(OR(B13=0,B13=""),"",B22/B13)</f>
        <v/>
      </c>
      <c r="D22" s="42">
        <f>D9-D16</f>
        <v>0</v>
      </c>
      <c r="E22" s="31" t="str">
        <f>IF(OR(D13=0,D13=""),"",D22/D13)</f>
        <v/>
      </c>
      <c r="F22" s="42">
        <f>F9-F16</f>
        <v>0</v>
      </c>
      <c r="G22" s="31" t="str">
        <f>IF(OR(F13=0,F13=""),"",F22/F13)</f>
        <v/>
      </c>
      <c r="H22" s="42">
        <f>H9-H16</f>
        <v>0</v>
      </c>
      <c r="I22" s="31" t="str">
        <f>IF(OR(H13=0,H13=""),"",H22/H13)</f>
        <v/>
      </c>
      <c r="J22" s="42">
        <f>J9-J16</f>
        <v>0</v>
      </c>
      <c r="K22" s="31" t="str">
        <f>IF(OR(J13=0,J13=""),"",J22/J13)</f>
        <v/>
      </c>
      <c r="L22" s="42">
        <f>L9-L16</f>
        <v>0</v>
      </c>
      <c r="M22" s="31" t="str">
        <f>IF(OR(L13=0,L13=""),"",L22/L13)</f>
        <v/>
      </c>
    </row>
    <row r="23" spans="1:13" x14ac:dyDescent="0.2">
      <c r="A23" s="25" t="s">
        <v>326</v>
      </c>
      <c r="B23" s="42">
        <f>B10-B17</f>
        <v>0</v>
      </c>
      <c r="C23" s="31" t="str">
        <f>IF(OR(B13=0,B13=""),"",B23/B13)</f>
        <v/>
      </c>
      <c r="D23" s="42">
        <f>D10-D17</f>
        <v>0</v>
      </c>
      <c r="E23" s="31" t="str">
        <f>IF(OR(D13=0,D13=""),"",D23/D13)</f>
        <v/>
      </c>
      <c r="F23" s="42">
        <f>F10-F17</f>
        <v>0</v>
      </c>
      <c r="G23" s="31" t="str">
        <f>IF(OR(F13=0,F13=""),"",F23/F13)</f>
        <v/>
      </c>
      <c r="H23" s="42">
        <f>H10-H17</f>
        <v>0</v>
      </c>
      <c r="I23" s="31" t="str">
        <f>IF(OR(H13=0,H13=""),"",H23/H13)</f>
        <v/>
      </c>
      <c r="J23" s="42">
        <f>J10-J17</f>
        <v>0</v>
      </c>
      <c r="K23" s="31" t="str">
        <f>IF(OR(J13=0,J13=""),"",J23/J13)</f>
        <v/>
      </c>
      <c r="L23" s="42">
        <f>L10-L17</f>
        <v>0</v>
      </c>
      <c r="M23" s="31" t="str">
        <f>IF(OR(L13=0,L13=""),"",L23/L13)</f>
        <v/>
      </c>
    </row>
    <row r="24" spans="1:13" x14ac:dyDescent="0.2">
      <c r="A24" s="25" t="s">
        <v>327</v>
      </c>
      <c r="B24" s="42">
        <f>B11-B18</f>
        <v>0</v>
      </c>
      <c r="C24" s="31" t="str">
        <f>IF(OR(B13=0,B13=""),"",B24/B13)</f>
        <v/>
      </c>
      <c r="D24" s="42">
        <f>D11-D18</f>
        <v>0</v>
      </c>
      <c r="E24" s="31" t="str">
        <f>IF(OR(D13=0,D13=""),"",D24/D13)</f>
        <v/>
      </c>
      <c r="F24" s="42">
        <f>F11-F18</f>
        <v>0</v>
      </c>
      <c r="G24" s="31" t="str">
        <f>IF(OR(F13=0,F13=""),"",F24/F13)</f>
        <v/>
      </c>
      <c r="H24" s="42">
        <f>H11-H18</f>
        <v>0</v>
      </c>
      <c r="I24" s="31" t="str">
        <f>IF(OR(H13=0,H13=""),"",H24/H13)</f>
        <v/>
      </c>
      <c r="J24" s="42">
        <f>J11-J18</f>
        <v>0</v>
      </c>
      <c r="K24" s="31" t="str">
        <f>IF(OR(J13=0,J13=""),"",J24/J13)</f>
        <v/>
      </c>
      <c r="L24" s="42">
        <f>L11-L18</f>
        <v>0</v>
      </c>
      <c r="M24" s="31" t="str">
        <f>IF(OR(L13=0,L13=""),"",L24/L13)</f>
        <v/>
      </c>
    </row>
    <row r="25" spans="1:13" x14ac:dyDescent="0.2">
      <c r="A25" s="38" t="s">
        <v>329</v>
      </c>
      <c r="B25" s="39">
        <f>B13-B19</f>
        <v>0</v>
      </c>
      <c r="C25" s="40" t="str">
        <f>IF(OR(B13=0,B13=""),"",B25/B13)</f>
        <v/>
      </c>
      <c r="D25" s="39">
        <f>D13-D19</f>
        <v>0</v>
      </c>
      <c r="E25" s="40" t="str">
        <f>IF(OR(D13=0,D13=""),"",D25/D13)</f>
        <v/>
      </c>
      <c r="F25" s="39">
        <f>F13-F19</f>
        <v>0</v>
      </c>
      <c r="G25" s="40" t="str">
        <f>IF(OR(F13=0,F13=""),"",F25/F13)</f>
        <v/>
      </c>
      <c r="H25" s="39">
        <f>H13-H19</f>
        <v>0</v>
      </c>
      <c r="I25" s="40" t="str">
        <f>IF(OR(H13=0,H13=""),"",H25/H13)</f>
        <v/>
      </c>
      <c r="J25" s="39">
        <f>J13-J19</f>
        <v>0</v>
      </c>
      <c r="K25" s="40" t="str">
        <f>IF(OR(J13=0,J13=""),"",J25/J13)</f>
        <v/>
      </c>
      <c r="L25" s="39">
        <f>L13-L19</f>
        <v>0</v>
      </c>
      <c r="M25" s="40" t="str">
        <f>IF(OR(L13=0,L13=""),"",L25/L13)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3864"/>
  </sheetPr>
  <dimension ref="A1:M22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25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331</v>
      </c>
      <c r="B8" s="26"/>
      <c r="C8" s="31" t="str">
        <f>IF(OR('Summary Op Stmt (Operators)'!$B$20=0,'Summary Op Stmt (Operators)'!$B$20=""),"",B8/'Summary Op Stmt (Operators)'!$B$20)</f>
        <v/>
      </c>
      <c r="D8" s="26"/>
      <c r="E8" s="31" t="str">
        <f>IF(OR('Summary Op Stmt (Operators)'!$D$20=0,'Summary Op Stmt (Operators)'!$D$20=""),"",D8/'Summary Op Stmt (Operators)'!$D$20)</f>
        <v/>
      </c>
      <c r="F8" s="26"/>
      <c r="G8" s="31" t="str">
        <f>IF(OR('Summary Op Stmt (Operators)'!$F$20=0,'Summary Op Stmt (Operators)'!$F$20=""),"",F8/'Summary Op Stmt (Operators)'!$F$20)</f>
        <v/>
      </c>
      <c r="H8" s="26"/>
      <c r="I8" s="31" t="str">
        <f>IF(OR('Summary Op Stmt (Operators)'!$H$20=0,'Summary Op Stmt (Operators)'!$H$20=""),"",H8/'Summary Op Stmt (Operators)'!$H$20)</f>
        <v/>
      </c>
      <c r="J8" s="26"/>
      <c r="K8" s="31" t="str">
        <f>IF(OR('Summary Op Stmt (Operators)'!$J$20=0,'Summary Op Stmt (Operators)'!$J$20=""),"",J8/'Summary Op Stmt (Operators)'!$J$20)</f>
        <v/>
      </c>
      <c r="L8" s="26"/>
      <c r="M8" s="31" t="str">
        <f>IF(OR('Summary Op Stmt (Operators)'!$L$20=0,'Summary Op Stmt (Operators)'!$L$20=""),"",L8/'Summary Op Stmt (Operators)'!$L$20)</f>
        <v/>
      </c>
    </row>
    <row r="9" spans="1:13" x14ac:dyDescent="0.2">
      <c r="A9" s="25" t="s">
        <v>332</v>
      </c>
      <c r="B9" s="26"/>
      <c r="C9" s="31" t="str">
        <f>IF(OR('Summary Op Stmt (Operators)'!$B$20=0,'Summary Op Stmt (Operators)'!$B$20=""),"",B9/'Summary Op Stmt (Operators)'!$B$20)</f>
        <v/>
      </c>
      <c r="D9" s="26"/>
      <c r="E9" s="31" t="str">
        <f>IF(OR('Summary Op Stmt (Operators)'!$D$20=0,'Summary Op Stmt (Operators)'!$D$20=""),"",D9/'Summary Op Stmt (Operators)'!$D$20)</f>
        <v/>
      </c>
      <c r="F9" s="26"/>
      <c r="G9" s="31" t="str">
        <f>IF(OR('Summary Op Stmt (Operators)'!$F$20=0,'Summary Op Stmt (Operators)'!$F$20=""),"",F9/'Summary Op Stmt (Operators)'!$F$20)</f>
        <v/>
      </c>
      <c r="H9" s="26"/>
      <c r="I9" s="31" t="str">
        <f>IF(OR('Summary Op Stmt (Operators)'!$H$20=0,'Summary Op Stmt (Operators)'!$H$20=""),"",H9/'Summary Op Stmt (Operators)'!$H$20)</f>
        <v/>
      </c>
      <c r="J9" s="26"/>
      <c r="K9" s="31" t="str">
        <f>IF(OR('Summary Op Stmt (Operators)'!$J$20=0,'Summary Op Stmt (Operators)'!$J$20=""),"",J9/'Summary Op Stmt (Operators)'!$J$20)</f>
        <v/>
      </c>
      <c r="L9" s="26"/>
      <c r="M9" s="31" t="str">
        <f>IF(OR('Summary Op Stmt (Operators)'!$L$20=0,'Summary Op Stmt (Operators)'!$L$20=""),"",L9/'Summary Op Stmt (Operators)'!$L$20)</f>
        <v/>
      </c>
    </row>
    <row r="10" spans="1:13" x14ac:dyDescent="0.2">
      <c r="A10" s="25" t="s">
        <v>333</v>
      </c>
      <c r="B10" s="26"/>
      <c r="C10" s="31" t="str">
        <f>IF(OR('Summary Op Stmt (Operators)'!$B$20=0,'Summary Op Stmt (Operators)'!$B$20=""),"",B10/'Summary Op Stmt (Operators)'!$B$20)</f>
        <v/>
      </c>
      <c r="D10" s="26"/>
      <c r="E10" s="31" t="str">
        <f>IF(OR('Summary Op Stmt (Operators)'!$D$20=0,'Summary Op Stmt (Operators)'!$D$20=""),"",D10/'Summary Op Stmt (Operators)'!$D$20)</f>
        <v/>
      </c>
      <c r="F10" s="26"/>
      <c r="G10" s="31" t="str">
        <f>IF(OR('Summary Op Stmt (Operators)'!$F$20=0,'Summary Op Stmt (Operators)'!$F$20=""),"",F10/'Summary Op Stmt (Operators)'!$F$20)</f>
        <v/>
      </c>
      <c r="H10" s="26"/>
      <c r="I10" s="31" t="str">
        <f>IF(OR('Summary Op Stmt (Operators)'!$H$20=0,'Summary Op Stmt (Operators)'!$H$20=""),"",H10/'Summary Op Stmt (Operators)'!$H$20)</f>
        <v/>
      </c>
      <c r="J10" s="26"/>
      <c r="K10" s="31" t="str">
        <f>IF(OR('Summary Op Stmt (Operators)'!$J$20=0,'Summary Op Stmt (Operators)'!$J$20=""),"",J10/'Summary Op Stmt (Operators)'!$J$20)</f>
        <v/>
      </c>
      <c r="L10" s="26"/>
      <c r="M10" s="31" t="str">
        <f>IF(OR('Summary Op Stmt (Operators)'!$L$20=0,'Summary Op Stmt (Operators)'!$L$20=""),"",L10/'Summary Op Stmt (Operators)'!$L$20)</f>
        <v/>
      </c>
    </row>
    <row r="11" spans="1:13" x14ac:dyDescent="0.2">
      <c r="A11" s="25" t="s">
        <v>174</v>
      </c>
      <c r="B11" s="26"/>
      <c r="C11" s="31" t="str">
        <f>IF(OR('Summary Op Stmt (Operators)'!$B$20=0,'Summary Op Stmt (Operators)'!$B$20=""),"",B11/'Summary Op Stmt (Operators)'!$B$20)</f>
        <v/>
      </c>
      <c r="D11" s="26"/>
      <c r="E11" s="31" t="str">
        <f>IF(OR('Summary Op Stmt (Operators)'!$D$20=0,'Summary Op Stmt (Operators)'!$D$20=""),"",D11/'Summary Op Stmt (Operators)'!$D$20)</f>
        <v/>
      </c>
      <c r="F11" s="26"/>
      <c r="G11" s="31" t="str">
        <f>IF(OR('Summary Op Stmt (Operators)'!$F$20=0,'Summary Op Stmt (Operators)'!$F$20=""),"",F11/'Summary Op Stmt (Operators)'!$F$20)</f>
        <v/>
      </c>
      <c r="H11" s="26"/>
      <c r="I11" s="31" t="str">
        <f>IF(OR('Summary Op Stmt (Operators)'!$H$20=0,'Summary Op Stmt (Operators)'!$H$20=""),"",H11/'Summary Op Stmt (Operators)'!$H$20)</f>
        <v/>
      </c>
      <c r="J11" s="26"/>
      <c r="K11" s="31" t="str">
        <f>IF(OR('Summary Op Stmt (Operators)'!$J$20=0,'Summary Op Stmt (Operators)'!$J$20=""),"",J11/'Summary Op Stmt (Operators)'!$J$20)</f>
        <v/>
      </c>
      <c r="L11" s="26"/>
      <c r="M11" s="31" t="str">
        <f>IF(OR('Summary Op Stmt (Operators)'!$L$20=0,'Summary Op Stmt (Operators)'!$L$20=""),"",L11/'Summary Op Stmt (Operators)'!$L$20)</f>
        <v/>
      </c>
    </row>
    <row r="12" spans="1:13" x14ac:dyDescent="0.2">
      <c r="A12" s="25" t="s">
        <v>334</v>
      </c>
      <c r="B12" s="26"/>
      <c r="C12" s="31" t="str">
        <f>IF(OR('Summary Op Stmt (Operators)'!$B$20=0,'Summary Op Stmt (Operators)'!$B$20=""),"",B12/'Summary Op Stmt (Operators)'!$B$20)</f>
        <v/>
      </c>
      <c r="D12" s="26"/>
      <c r="E12" s="31" t="str">
        <f>IF(OR('Summary Op Stmt (Operators)'!$D$20=0,'Summary Op Stmt (Operators)'!$D$20=""),"",D12/'Summary Op Stmt (Operators)'!$D$20)</f>
        <v/>
      </c>
      <c r="F12" s="26"/>
      <c r="G12" s="31" t="str">
        <f>IF(OR('Summary Op Stmt (Operators)'!$F$20=0,'Summary Op Stmt (Operators)'!$F$20=""),"",F12/'Summary Op Stmt (Operators)'!$F$20)</f>
        <v/>
      </c>
      <c r="H12" s="26"/>
      <c r="I12" s="31" t="str">
        <f>IF(OR('Summary Op Stmt (Operators)'!$H$20=0,'Summary Op Stmt (Operators)'!$H$20=""),"",H12/'Summary Op Stmt (Operators)'!$H$20)</f>
        <v/>
      </c>
      <c r="J12" s="26"/>
      <c r="K12" s="31" t="str">
        <f>IF(OR('Summary Op Stmt (Operators)'!$J$20=0,'Summary Op Stmt (Operators)'!$J$20=""),"",J12/'Summary Op Stmt (Operators)'!$J$20)</f>
        <v/>
      </c>
      <c r="L12" s="26"/>
      <c r="M12" s="31" t="str">
        <f>IF(OR('Summary Op Stmt (Operators)'!$L$20=0,'Summary Op Stmt (Operators)'!$L$20=""),"",L12/'Summary Op Stmt (Operators)'!$L$20)</f>
        <v/>
      </c>
    </row>
    <row r="13" spans="1:13" x14ac:dyDescent="0.2">
      <c r="A13" s="25" t="s">
        <v>335</v>
      </c>
      <c r="B13" s="26"/>
      <c r="C13" s="31" t="str">
        <f>IF(OR('Summary Op Stmt (Operators)'!$B$20=0,'Summary Op Stmt (Operators)'!$B$20=""),"",B13/'Summary Op Stmt (Operators)'!$B$20)</f>
        <v/>
      </c>
      <c r="D13" s="26"/>
      <c r="E13" s="31" t="str">
        <f>IF(OR('Summary Op Stmt (Operators)'!$D$20=0,'Summary Op Stmt (Operators)'!$D$20=""),"",D13/'Summary Op Stmt (Operators)'!$D$20)</f>
        <v/>
      </c>
      <c r="F13" s="26"/>
      <c r="G13" s="31" t="str">
        <f>IF(OR('Summary Op Stmt (Operators)'!$F$20=0,'Summary Op Stmt (Operators)'!$F$20=""),"",F13/'Summary Op Stmt (Operators)'!$F$20)</f>
        <v/>
      </c>
      <c r="H13" s="26"/>
      <c r="I13" s="31" t="str">
        <f>IF(OR('Summary Op Stmt (Operators)'!$H$20=0,'Summary Op Stmt (Operators)'!$H$20=""),"",H13/'Summary Op Stmt (Operators)'!$H$20)</f>
        <v/>
      </c>
      <c r="J13" s="26"/>
      <c r="K13" s="31" t="str">
        <f>IF(OR('Summary Op Stmt (Operators)'!$J$20=0,'Summary Op Stmt (Operators)'!$J$20=""),"",J13/'Summary Op Stmt (Operators)'!$J$20)</f>
        <v/>
      </c>
      <c r="L13" s="26"/>
      <c r="M13" s="31" t="str">
        <f>IF(OR('Summary Op Stmt (Operators)'!$L$20=0,'Summary Op Stmt (Operators)'!$L$20=""),"",L13/'Summary Op Stmt (Operators)'!$L$20)</f>
        <v/>
      </c>
    </row>
    <row r="14" spans="1:13" x14ac:dyDescent="0.2">
      <c r="A14" s="25" t="s">
        <v>336</v>
      </c>
      <c r="B14" s="26"/>
      <c r="C14" s="31" t="str">
        <f>IF(OR('Summary Op Stmt (Operators)'!$B$20=0,'Summary Op Stmt (Operators)'!$B$20=""),"",B14/'Summary Op Stmt (Operators)'!$B$20)</f>
        <v/>
      </c>
      <c r="D14" s="26"/>
      <c r="E14" s="31" t="str">
        <f>IF(OR('Summary Op Stmt (Operators)'!$D$20=0,'Summary Op Stmt (Operators)'!$D$20=""),"",D14/'Summary Op Stmt (Operators)'!$D$20)</f>
        <v/>
      </c>
      <c r="F14" s="26"/>
      <c r="G14" s="31" t="str">
        <f>IF(OR('Summary Op Stmt (Operators)'!$F$20=0,'Summary Op Stmt (Operators)'!$F$20=""),"",F14/'Summary Op Stmt (Operators)'!$F$20)</f>
        <v/>
      </c>
      <c r="H14" s="26"/>
      <c r="I14" s="31" t="str">
        <f>IF(OR('Summary Op Stmt (Operators)'!$H$20=0,'Summary Op Stmt (Operators)'!$H$20=""),"",H14/'Summary Op Stmt (Operators)'!$H$20)</f>
        <v/>
      </c>
      <c r="J14" s="26"/>
      <c r="K14" s="31" t="str">
        <f>IF(OR('Summary Op Stmt (Operators)'!$J$20=0,'Summary Op Stmt (Operators)'!$J$20=""),"",J14/'Summary Op Stmt (Operators)'!$J$20)</f>
        <v/>
      </c>
      <c r="L14" s="26"/>
      <c r="M14" s="31" t="str">
        <f>IF(OR('Summary Op Stmt (Operators)'!$L$20=0,'Summary Op Stmt (Operators)'!$L$20=""),"",L14/'Summary Op Stmt (Operators)'!$L$20)</f>
        <v/>
      </c>
    </row>
    <row r="15" spans="1:13" x14ac:dyDescent="0.2">
      <c r="A15" s="25" t="s">
        <v>337</v>
      </c>
      <c r="B15" s="26"/>
      <c r="C15" s="31" t="str">
        <f>IF(OR('Summary Op Stmt (Operators)'!$B$20=0,'Summary Op Stmt (Operators)'!$B$20=""),"",B15/'Summary Op Stmt (Operators)'!$B$20)</f>
        <v/>
      </c>
      <c r="D15" s="26"/>
      <c r="E15" s="31" t="str">
        <f>IF(OR('Summary Op Stmt (Operators)'!$D$20=0,'Summary Op Stmt (Operators)'!$D$20=""),"",D15/'Summary Op Stmt (Operators)'!$D$20)</f>
        <v/>
      </c>
      <c r="F15" s="26"/>
      <c r="G15" s="31" t="str">
        <f>IF(OR('Summary Op Stmt (Operators)'!$F$20=0,'Summary Op Stmt (Operators)'!$F$20=""),"",F15/'Summary Op Stmt (Operators)'!$F$20)</f>
        <v/>
      </c>
      <c r="H15" s="26"/>
      <c r="I15" s="31" t="str">
        <f>IF(OR('Summary Op Stmt (Operators)'!$H$20=0,'Summary Op Stmt (Operators)'!$H$20=""),"",H15/'Summary Op Stmt (Operators)'!$H$20)</f>
        <v/>
      </c>
      <c r="J15" s="26"/>
      <c r="K15" s="31" t="str">
        <f>IF(OR('Summary Op Stmt (Operators)'!$J$20=0,'Summary Op Stmt (Operators)'!$J$20=""),"",J15/'Summary Op Stmt (Operators)'!$J$20)</f>
        <v/>
      </c>
      <c r="L15" s="26"/>
      <c r="M15" s="31" t="str">
        <f>IF(OR('Summary Op Stmt (Operators)'!$L$20=0,'Summary Op Stmt (Operators)'!$L$20=""),"",L15/'Summary Op Stmt (Operators)'!$L$20)</f>
        <v/>
      </c>
    </row>
    <row r="16" spans="1:13" x14ac:dyDescent="0.2">
      <c r="A16" s="25" t="s">
        <v>338</v>
      </c>
      <c r="B16" s="26"/>
      <c r="C16" s="31" t="str">
        <f>IF(OR('Summary Op Stmt (Operators)'!$B$20=0,'Summary Op Stmt (Operators)'!$B$20=""),"",B16/'Summary Op Stmt (Operators)'!$B$20)</f>
        <v/>
      </c>
      <c r="D16" s="26"/>
      <c r="E16" s="31" t="str">
        <f>IF(OR('Summary Op Stmt (Operators)'!$D$20=0,'Summary Op Stmt (Operators)'!$D$20=""),"",D16/'Summary Op Stmt (Operators)'!$D$20)</f>
        <v/>
      </c>
      <c r="F16" s="26"/>
      <c r="G16" s="31" t="str">
        <f>IF(OR('Summary Op Stmt (Operators)'!$F$20=0,'Summary Op Stmt (Operators)'!$F$20=""),"",F16/'Summary Op Stmt (Operators)'!$F$20)</f>
        <v/>
      </c>
      <c r="H16" s="26"/>
      <c r="I16" s="31" t="str">
        <f>IF(OR('Summary Op Stmt (Operators)'!$H$20=0,'Summary Op Stmt (Operators)'!$H$20=""),"",H16/'Summary Op Stmt (Operators)'!$H$20)</f>
        <v/>
      </c>
      <c r="J16" s="26"/>
      <c r="K16" s="31" t="str">
        <f>IF(OR('Summary Op Stmt (Operators)'!$J$20=0,'Summary Op Stmt (Operators)'!$J$20=""),"",J16/'Summary Op Stmt (Operators)'!$J$20)</f>
        <v/>
      </c>
      <c r="L16" s="26"/>
      <c r="M16" s="31" t="str">
        <f>IF(OR('Summary Op Stmt (Operators)'!$L$20=0,'Summary Op Stmt (Operators)'!$L$20=""),"",L16/'Summary Op Stmt (Operators)'!$L$20)</f>
        <v/>
      </c>
    </row>
    <row r="17" spans="1:13" x14ac:dyDescent="0.2">
      <c r="A17" s="25" t="s">
        <v>339</v>
      </c>
      <c r="B17" s="26"/>
      <c r="C17" s="31" t="str">
        <f>IF(OR('Summary Op Stmt (Operators)'!$B$20=0,'Summary Op Stmt (Operators)'!$B$20=""),"",B17/'Summary Op Stmt (Operators)'!$B$20)</f>
        <v/>
      </c>
      <c r="D17" s="26"/>
      <c r="E17" s="31" t="str">
        <f>IF(OR('Summary Op Stmt (Operators)'!$D$20=0,'Summary Op Stmt (Operators)'!$D$20=""),"",D17/'Summary Op Stmt (Operators)'!$D$20)</f>
        <v/>
      </c>
      <c r="F17" s="26"/>
      <c r="G17" s="31" t="str">
        <f>IF(OR('Summary Op Stmt (Operators)'!$F$20=0,'Summary Op Stmt (Operators)'!$F$20=""),"",F17/'Summary Op Stmt (Operators)'!$F$20)</f>
        <v/>
      </c>
      <c r="H17" s="26"/>
      <c r="I17" s="31" t="str">
        <f>IF(OR('Summary Op Stmt (Operators)'!$H$20=0,'Summary Op Stmt (Operators)'!$H$20=""),"",H17/'Summary Op Stmt (Operators)'!$H$20)</f>
        <v/>
      </c>
      <c r="J17" s="26"/>
      <c r="K17" s="31" t="str">
        <f>IF(OR('Summary Op Stmt (Operators)'!$J$20=0,'Summary Op Stmt (Operators)'!$J$20=""),"",J17/'Summary Op Stmt (Operators)'!$J$20)</f>
        <v/>
      </c>
      <c r="L17" s="26"/>
      <c r="M17" s="31" t="str">
        <f>IF(OR('Summary Op Stmt (Operators)'!$L$20=0,'Summary Op Stmt (Operators)'!$L$20=""),"",L17/'Summary Op Stmt (Operators)'!$L$20)</f>
        <v/>
      </c>
    </row>
    <row r="18" spans="1:13" x14ac:dyDescent="0.2">
      <c r="A18" s="25" t="s">
        <v>340</v>
      </c>
      <c r="B18" s="26"/>
      <c r="C18" s="31" t="str">
        <f>IF(OR('Summary Op Stmt (Operators)'!$B$20=0,'Summary Op Stmt (Operators)'!$B$20=""),"",B18/'Summary Op Stmt (Operators)'!$B$20)</f>
        <v/>
      </c>
      <c r="D18" s="26"/>
      <c r="E18" s="31" t="str">
        <f>IF(OR('Summary Op Stmt (Operators)'!$D$20=0,'Summary Op Stmt (Operators)'!$D$20=""),"",D18/'Summary Op Stmt (Operators)'!$D$20)</f>
        <v/>
      </c>
      <c r="F18" s="26"/>
      <c r="G18" s="31" t="str">
        <f>IF(OR('Summary Op Stmt (Operators)'!$F$20=0,'Summary Op Stmt (Operators)'!$F$20=""),"",F18/'Summary Op Stmt (Operators)'!$F$20)</f>
        <v/>
      </c>
      <c r="H18" s="26"/>
      <c r="I18" s="31" t="str">
        <f>IF(OR('Summary Op Stmt (Operators)'!$H$20=0,'Summary Op Stmt (Operators)'!$H$20=""),"",H18/'Summary Op Stmt (Operators)'!$H$20)</f>
        <v/>
      </c>
      <c r="J18" s="26"/>
      <c r="K18" s="31" t="str">
        <f>IF(OR('Summary Op Stmt (Operators)'!$J$20=0,'Summary Op Stmt (Operators)'!$J$20=""),"",J18/'Summary Op Stmt (Operators)'!$J$20)</f>
        <v/>
      </c>
      <c r="L18" s="26"/>
      <c r="M18" s="31" t="str">
        <f>IF(OR('Summary Op Stmt (Operators)'!$L$20=0,'Summary Op Stmt (Operators)'!$L$20=""),"",L18/'Summary Op Stmt (Operators)'!$L$20)</f>
        <v/>
      </c>
    </row>
    <row r="19" spans="1:13" x14ac:dyDescent="0.2">
      <c r="A19" s="25" t="s">
        <v>341</v>
      </c>
      <c r="B19" s="26"/>
      <c r="C19" s="31" t="str">
        <f>IF(OR('Summary Op Stmt (Operators)'!$B$20=0,'Summary Op Stmt (Operators)'!$B$20=""),"",B19/'Summary Op Stmt (Operators)'!$B$20)</f>
        <v/>
      </c>
      <c r="D19" s="26"/>
      <c r="E19" s="31" t="str">
        <f>IF(OR('Summary Op Stmt (Operators)'!$D$20=0,'Summary Op Stmt (Operators)'!$D$20=""),"",D19/'Summary Op Stmt (Operators)'!$D$20)</f>
        <v/>
      </c>
      <c r="F19" s="26"/>
      <c r="G19" s="31" t="str">
        <f>IF(OR('Summary Op Stmt (Operators)'!$F$20=0,'Summary Op Stmt (Operators)'!$F$20=""),"",F19/'Summary Op Stmt (Operators)'!$F$20)</f>
        <v/>
      </c>
      <c r="H19" s="26"/>
      <c r="I19" s="31" t="str">
        <f>IF(OR('Summary Op Stmt (Operators)'!$H$20=0,'Summary Op Stmt (Operators)'!$H$20=""),"",H19/'Summary Op Stmt (Operators)'!$H$20)</f>
        <v/>
      </c>
      <c r="J19" s="26"/>
      <c r="K19" s="31" t="str">
        <f>IF(OR('Summary Op Stmt (Operators)'!$J$20=0,'Summary Op Stmt (Operators)'!$J$20=""),"",J19/'Summary Op Stmt (Operators)'!$J$20)</f>
        <v/>
      </c>
      <c r="L19" s="26"/>
      <c r="M19" s="31" t="str">
        <f>IF(OR('Summary Op Stmt (Operators)'!$L$20=0,'Summary Op Stmt (Operators)'!$L$20=""),"",L19/'Summary Op Stmt (Operators)'!$L$20)</f>
        <v/>
      </c>
    </row>
    <row r="20" spans="1:13" x14ac:dyDescent="0.2">
      <c r="A20" s="25" t="s">
        <v>342</v>
      </c>
      <c r="B20" s="26"/>
      <c r="C20" s="31" t="str">
        <f>IF(OR('Summary Op Stmt (Operators)'!$B$20=0,'Summary Op Stmt (Operators)'!$B$20=""),"",B20/'Summary Op Stmt (Operators)'!$B$20)</f>
        <v/>
      </c>
      <c r="D20" s="26"/>
      <c r="E20" s="31" t="str">
        <f>IF(OR('Summary Op Stmt (Operators)'!$D$20=0,'Summary Op Stmt (Operators)'!$D$20=""),"",D20/'Summary Op Stmt (Operators)'!$D$20)</f>
        <v/>
      </c>
      <c r="F20" s="26"/>
      <c r="G20" s="31" t="str">
        <f>IF(OR('Summary Op Stmt (Operators)'!$F$20=0,'Summary Op Stmt (Operators)'!$F$20=""),"",F20/'Summary Op Stmt (Operators)'!$F$20)</f>
        <v/>
      </c>
      <c r="H20" s="26"/>
      <c r="I20" s="31" t="str">
        <f>IF(OR('Summary Op Stmt (Operators)'!$H$20=0,'Summary Op Stmt (Operators)'!$H$20=""),"",H20/'Summary Op Stmt (Operators)'!$H$20)</f>
        <v/>
      </c>
      <c r="J20" s="26"/>
      <c r="K20" s="31" t="str">
        <f>IF(OR('Summary Op Stmt (Operators)'!$J$20=0,'Summary Op Stmt (Operators)'!$J$20=""),"",J20/'Summary Op Stmt (Operators)'!$J$20)</f>
        <v/>
      </c>
      <c r="L20" s="26"/>
      <c r="M20" s="31" t="str">
        <f>IF(OR('Summary Op Stmt (Operators)'!$L$20=0,'Summary Op Stmt (Operators)'!$L$20=""),"",L20/'Summary Op Stmt (Operators)'!$L$20)</f>
        <v/>
      </c>
    </row>
    <row r="21" spans="1:13" x14ac:dyDescent="0.2">
      <c r="A21" s="25" t="s">
        <v>112</v>
      </c>
      <c r="B21" s="26"/>
      <c r="C21" s="31" t="str">
        <f>IF(OR('Summary Op Stmt (Operators)'!$B$20=0,'Summary Op Stmt (Operators)'!$B$20=""),"",B21/'Summary Op Stmt (Operators)'!$B$20)</f>
        <v/>
      </c>
      <c r="D21" s="26"/>
      <c r="E21" s="31" t="str">
        <f>IF(OR('Summary Op Stmt (Operators)'!$D$20=0,'Summary Op Stmt (Operators)'!$D$20=""),"",D21/'Summary Op Stmt (Operators)'!$D$20)</f>
        <v/>
      </c>
      <c r="F21" s="26"/>
      <c r="G21" s="31" t="str">
        <f>IF(OR('Summary Op Stmt (Operators)'!$F$20=0,'Summary Op Stmt (Operators)'!$F$20=""),"",F21/'Summary Op Stmt (Operators)'!$F$20)</f>
        <v/>
      </c>
      <c r="H21" s="26"/>
      <c r="I21" s="31" t="str">
        <f>IF(OR('Summary Op Stmt (Operators)'!$H$20=0,'Summary Op Stmt (Operators)'!$H$20=""),"",H21/'Summary Op Stmt (Operators)'!$H$20)</f>
        <v/>
      </c>
      <c r="J21" s="26"/>
      <c r="K21" s="31" t="str">
        <f>IF(OR('Summary Op Stmt (Operators)'!$J$20=0,'Summary Op Stmt (Operators)'!$J$20=""),"",J21/'Summary Op Stmt (Operators)'!$J$20)</f>
        <v/>
      </c>
      <c r="L21" s="26"/>
      <c r="M21" s="31" t="str">
        <f>IF(OR('Summary Op Stmt (Operators)'!$L$20=0,'Summary Op Stmt (Operators)'!$L$20=""),"",L21/'Summary Op Stmt (Operators)'!$L$20)</f>
        <v/>
      </c>
    </row>
    <row r="22" spans="1:13" x14ac:dyDescent="0.2">
      <c r="A22" s="38" t="s">
        <v>343</v>
      </c>
      <c r="B22" s="39">
        <f>B8+B9+B10+B11+B12+B13+B14+B15+B16+B17+B18+B19+B20+B21</f>
        <v>0</v>
      </c>
      <c r="C22" s="40" t="str">
        <f>IF(OR('Summary Op Stmt (Operators)'!$B$20=0,'Summary Op Stmt (Operators)'!$B$20=""),"",B22/'Summary Op Stmt (Operators)'!$B$20)</f>
        <v/>
      </c>
      <c r="D22" s="39">
        <f>D8+D9+D10+D11+D12+D13+D14+D15+D16+D17+D18+D19+D20+D21</f>
        <v>0</v>
      </c>
      <c r="E22" s="40" t="str">
        <f>IF(OR('Summary Op Stmt (Operators)'!$D$20=0,'Summary Op Stmt (Operators)'!$D$20=""),"",D22/'Summary Op Stmt (Operators)'!$D$20)</f>
        <v/>
      </c>
      <c r="F22" s="39">
        <f>F8+F9+F10+F11+F12+F13+F14+F15+F16+F17+F18+F19+F20+F21</f>
        <v>0</v>
      </c>
      <c r="G22" s="40" t="str">
        <f>IF(OR('Summary Op Stmt (Operators)'!$F$20=0,'Summary Op Stmt (Operators)'!$F$20=""),"",F22/'Summary Op Stmt (Operators)'!$F$20)</f>
        <v/>
      </c>
      <c r="H22" s="39">
        <f>H8+H9+H10+H11+H12+H13+H14+H15+H16+H17+H18+H19+H20+H21</f>
        <v>0</v>
      </c>
      <c r="I22" s="40" t="str">
        <f>IF(OR('Summary Op Stmt (Operators)'!$H$20=0,'Summary Op Stmt (Operators)'!$H$20=""),"",H22/'Summary Op Stmt (Operators)'!$H$20)</f>
        <v/>
      </c>
      <c r="J22" s="39">
        <f>J8+J9+J10+J11+J12+J13+J14+J15+J16+J17+J18+J19+J20+J21</f>
        <v>0</v>
      </c>
      <c r="K22" s="40" t="str">
        <f>IF(OR('Summary Op Stmt (Operators)'!$J$20=0,'Summary Op Stmt (Operators)'!$J$20=""),"",J22/'Summary Op Stmt (Operators)'!$J$20)</f>
        <v/>
      </c>
      <c r="L22" s="39">
        <f>L8+L9+L10+L11+L12+L13+L14+L15+L16+L17+L18+L19+L20+L21</f>
        <v>0</v>
      </c>
      <c r="M22" s="40" t="str">
        <f>IF(OR('Summary Op Stmt (Operators)'!$L$20=0,'Summary Op Stmt (Operators)'!$L$20=""),"",L22/'Summary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3864"/>
  </sheetPr>
  <dimension ref="A1:M65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344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148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3" t="s">
        <v>149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">
      <c r="A9" s="23" t="s">
        <v>150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">
      <c r="A10" s="23" t="s">
        <v>151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">
      <c r="A11" s="25" t="s">
        <v>152</v>
      </c>
      <c r="B11" s="26"/>
      <c r="D11" s="26"/>
      <c r="F11" s="26"/>
      <c r="H11" s="26"/>
      <c r="J11" s="26"/>
      <c r="L11" s="26"/>
    </row>
    <row r="12" spans="1:13" x14ac:dyDescent="0.2">
      <c r="A12" s="23" t="s">
        <v>153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x14ac:dyDescent="0.2">
      <c r="A13" s="25" t="s">
        <v>345</v>
      </c>
      <c r="B13" s="26"/>
      <c r="D13" s="26"/>
      <c r="F13" s="26"/>
      <c r="H13" s="26"/>
      <c r="J13" s="26"/>
      <c r="L13" s="26"/>
    </row>
    <row r="14" spans="1:13" x14ac:dyDescent="0.2">
      <c r="A14" s="25" t="s">
        <v>346</v>
      </c>
      <c r="B14" s="26"/>
      <c r="D14" s="26"/>
      <c r="F14" s="26"/>
      <c r="H14" s="26"/>
      <c r="J14" s="26"/>
      <c r="L14" s="26"/>
    </row>
    <row r="15" spans="1:13" x14ac:dyDescent="0.2">
      <c r="A15" s="25" t="s">
        <v>347</v>
      </c>
      <c r="B15" s="26"/>
      <c r="D15" s="26"/>
      <c r="F15" s="26"/>
      <c r="H15" s="26"/>
      <c r="J15" s="26"/>
      <c r="L15" s="26"/>
    </row>
    <row r="16" spans="1:13" x14ac:dyDescent="0.2">
      <c r="A16" s="25" t="s">
        <v>348</v>
      </c>
      <c r="B16" s="26"/>
      <c r="D16" s="26"/>
      <c r="F16" s="26"/>
      <c r="H16" s="26"/>
      <c r="J16" s="26"/>
      <c r="L16" s="26"/>
    </row>
    <row r="17" spans="1:13" x14ac:dyDescent="0.2">
      <c r="A17" s="25" t="s">
        <v>349</v>
      </c>
      <c r="B17" s="26"/>
      <c r="D17" s="26"/>
      <c r="F17" s="26"/>
      <c r="H17" s="26"/>
      <c r="J17" s="26"/>
      <c r="L17" s="26"/>
    </row>
    <row r="18" spans="1:13" x14ac:dyDescent="0.2">
      <c r="A18" s="35" t="s">
        <v>160</v>
      </c>
      <c r="B18" s="36">
        <f>B11+B13+B14+B15+B16+B17</f>
        <v>0</v>
      </c>
      <c r="C18" s="41"/>
      <c r="D18" s="36">
        <f>D11+D13+D14+D15+D16+D17</f>
        <v>0</v>
      </c>
      <c r="E18" s="41"/>
      <c r="F18" s="36">
        <f>F11+F13+F14+F15+F16+F17</f>
        <v>0</v>
      </c>
      <c r="G18" s="41"/>
      <c r="H18" s="36">
        <f>H11+H13+H14+H15+H16+H17</f>
        <v>0</v>
      </c>
      <c r="I18" s="41"/>
      <c r="J18" s="36">
        <f>J11+J13+J14+J15+J16+J17</f>
        <v>0</v>
      </c>
      <c r="K18" s="41"/>
      <c r="L18" s="36">
        <f>L11+L13+L14+L15+L16+L17</f>
        <v>0</v>
      </c>
      <c r="M18" s="41"/>
    </row>
    <row r="19" spans="1:13" x14ac:dyDescent="0.2">
      <c r="A19" s="25" t="s">
        <v>161</v>
      </c>
      <c r="B19" s="26"/>
      <c r="D19" s="26"/>
      <c r="F19" s="26"/>
      <c r="H19" s="26"/>
      <c r="J19" s="26"/>
      <c r="L19" s="26"/>
    </row>
    <row r="20" spans="1:13" x14ac:dyDescent="0.2">
      <c r="A20" s="25" t="s">
        <v>162</v>
      </c>
      <c r="B20" s="26"/>
      <c r="D20" s="26"/>
      <c r="F20" s="26"/>
      <c r="H20" s="26"/>
      <c r="J20" s="26"/>
      <c r="L20" s="26"/>
    </row>
    <row r="21" spans="1:13" x14ac:dyDescent="0.2">
      <c r="A21" s="25" t="s">
        <v>163</v>
      </c>
      <c r="B21" s="26"/>
      <c r="D21" s="26"/>
      <c r="F21" s="26"/>
      <c r="H21" s="26"/>
      <c r="J21" s="26"/>
      <c r="L21" s="26"/>
    </row>
    <row r="22" spans="1:13" x14ac:dyDescent="0.2">
      <c r="A22" s="35" t="s">
        <v>164</v>
      </c>
      <c r="B22" s="36">
        <f>B18+B19+B20+B21</f>
        <v>0</v>
      </c>
      <c r="C22" s="37" t="str">
        <f>IF(OR('Summary Op Stmt (Operators)'!$B$20=0,'Summary Op Stmt (Operators)'!$B$20=""),"",B22/'Summary Op Stmt (Operators)'!$B$20)</f>
        <v/>
      </c>
      <c r="D22" s="36">
        <f>D18+D19+D20+D21</f>
        <v>0</v>
      </c>
      <c r="E22" s="37" t="str">
        <f>IF(OR('Summary Op Stmt (Operators)'!$D$20=0,'Summary Op Stmt (Operators)'!$D$20=""),"",D22/'Summary Op Stmt (Operators)'!$D$20)</f>
        <v/>
      </c>
      <c r="F22" s="36">
        <f>F18+F19+F20+F21</f>
        <v>0</v>
      </c>
      <c r="G22" s="37" t="str">
        <f>IF(OR('Summary Op Stmt (Operators)'!$F$20=0,'Summary Op Stmt (Operators)'!$F$20=""),"",F22/'Summary Op Stmt (Operators)'!$F$20)</f>
        <v/>
      </c>
      <c r="H22" s="36">
        <f>H18+H19+H20+H21</f>
        <v>0</v>
      </c>
      <c r="I22" s="37" t="str">
        <f>IF(OR('Summary Op Stmt (Operators)'!$H$20=0,'Summary Op Stmt (Operators)'!$H$20=""),"",H22/'Summary Op Stmt (Operators)'!$H$20)</f>
        <v/>
      </c>
      <c r="J22" s="36">
        <f>J18+J19+J20+J21</f>
        <v>0</v>
      </c>
      <c r="K22" s="37" t="str">
        <f>IF(OR('Summary Op Stmt (Operators)'!$J$20=0,'Summary Op Stmt (Operators)'!$J$20=""),"",J22/'Summary Op Stmt (Operators)'!$J$20)</f>
        <v/>
      </c>
      <c r="L22" s="36">
        <f>L18+L19+L20+L21</f>
        <v>0</v>
      </c>
      <c r="M22" s="37" t="str">
        <f>IF(OR('Summary Op Stmt (Operators)'!$L$20=0,'Summary Op Stmt (Operators)'!$L$20=""),"",L22/'Summary Op Stmt (Operators)'!$L$20)</f>
        <v/>
      </c>
    </row>
    <row r="23" spans="1:13" x14ac:dyDescent="0.2">
      <c r="A23" s="23" t="s">
        <v>165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x14ac:dyDescent="0.2">
      <c r="A24" s="25" t="s">
        <v>166</v>
      </c>
      <c r="B24" s="26"/>
      <c r="C24" s="31" t="str">
        <f>IF(OR('Summary Op Stmt (Operators)'!$B$20=0,'Summary Op Stmt (Operators)'!$B$20=""),"",B24/'Summary Op Stmt (Operators)'!$B$20)</f>
        <v/>
      </c>
      <c r="D24" s="26"/>
      <c r="E24" s="31" t="str">
        <f>IF(OR('Summary Op Stmt (Operators)'!$D$20=0,'Summary Op Stmt (Operators)'!$D$20=""),"",D24/'Summary Op Stmt (Operators)'!$D$20)</f>
        <v/>
      </c>
      <c r="F24" s="26"/>
      <c r="G24" s="31" t="str">
        <f>IF(OR('Summary Op Stmt (Operators)'!$F$20=0,'Summary Op Stmt (Operators)'!$F$20=""),"",F24/'Summary Op Stmt (Operators)'!$F$20)</f>
        <v/>
      </c>
      <c r="H24" s="26"/>
      <c r="I24" s="31" t="str">
        <f>IF(OR('Summary Op Stmt (Operators)'!$H$20=0,'Summary Op Stmt (Operators)'!$H$20=""),"",H24/'Summary Op Stmt (Operators)'!$H$20)</f>
        <v/>
      </c>
      <c r="J24" s="26"/>
      <c r="K24" s="31" t="str">
        <f>IF(OR('Summary Op Stmt (Operators)'!$J$20=0,'Summary Op Stmt (Operators)'!$J$20=""),"",J24/'Summary Op Stmt (Operators)'!$J$20)</f>
        <v/>
      </c>
      <c r="L24" s="26"/>
      <c r="M24" s="31" t="str">
        <f>IF(OR('Summary Op Stmt (Operators)'!$L$20=0,'Summary Op Stmt (Operators)'!$L$20=""),"",L24/'Summary Op Stmt (Operators)'!$L$20)</f>
        <v/>
      </c>
    </row>
    <row r="25" spans="1:13" x14ac:dyDescent="0.2">
      <c r="A25" s="25" t="s">
        <v>167</v>
      </c>
      <c r="B25" s="26"/>
      <c r="C25" s="31" t="str">
        <f>IF(OR('Summary Op Stmt (Operators)'!$B$20=0,'Summary Op Stmt (Operators)'!$B$20=""),"",B25/'Summary Op Stmt (Operators)'!$B$20)</f>
        <v/>
      </c>
      <c r="D25" s="26"/>
      <c r="E25" s="31" t="str">
        <f>IF(OR('Summary Op Stmt (Operators)'!$D$20=0,'Summary Op Stmt (Operators)'!$D$20=""),"",D25/'Summary Op Stmt (Operators)'!$D$20)</f>
        <v/>
      </c>
      <c r="F25" s="26"/>
      <c r="G25" s="31" t="str">
        <f>IF(OR('Summary Op Stmt (Operators)'!$F$20=0,'Summary Op Stmt (Operators)'!$F$20=""),"",F25/'Summary Op Stmt (Operators)'!$F$20)</f>
        <v/>
      </c>
      <c r="H25" s="26"/>
      <c r="I25" s="31" t="str">
        <f>IF(OR('Summary Op Stmt (Operators)'!$H$20=0,'Summary Op Stmt (Operators)'!$H$20=""),"",H25/'Summary Op Stmt (Operators)'!$H$20)</f>
        <v/>
      </c>
      <c r="J25" s="26"/>
      <c r="K25" s="31" t="str">
        <f>IF(OR('Summary Op Stmt (Operators)'!$J$20=0,'Summary Op Stmt (Operators)'!$J$20=""),"",J25/'Summary Op Stmt (Operators)'!$J$20)</f>
        <v/>
      </c>
      <c r="L25" s="26"/>
      <c r="M25" s="31" t="str">
        <f>IF(OR('Summary Op Stmt (Operators)'!$L$20=0,'Summary Op Stmt (Operators)'!$L$20=""),"",L25/'Summary Op Stmt (Operators)'!$L$20)</f>
        <v/>
      </c>
    </row>
    <row r="26" spans="1:13" x14ac:dyDescent="0.2">
      <c r="A26" s="25" t="s">
        <v>168</v>
      </c>
      <c r="B26" s="26"/>
      <c r="C26" s="31" t="str">
        <f>IF(OR('Summary Op Stmt (Operators)'!$B$20=0,'Summary Op Stmt (Operators)'!$B$20=""),"",B26/'Summary Op Stmt (Operators)'!$B$20)</f>
        <v/>
      </c>
      <c r="D26" s="26"/>
      <c r="E26" s="31" t="str">
        <f>IF(OR('Summary Op Stmt (Operators)'!$D$20=0,'Summary Op Stmt (Operators)'!$D$20=""),"",D26/'Summary Op Stmt (Operators)'!$D$20)</f>
        <v/>
      </c>
      <c r="F26" s="26"/>
      <c r="G26" s="31" t="str">
        <f>IF(OR('Summary Op Stmt (Operators)'!$F$20=0,'Summary Op Stmt (Operators)'!$F$20=""),"",F26/'Summary Op Stmt (Operators)'!$F$20)</f>
        <v/>
      </c>
      <c r="H26" s="26"/>
      <c r="I26" s="31" t="str">
        <f>IF(OR('Summary Op Stmt (Operators)'!$H$20=0,'Summary Op Stmt (Operators)'!$H$20=""),"",H26/'Summary Op Stmt (Operators)'!$H$20)</f>
        <v/>
      </c>
      <c r="J26" s="26"/>
      <c r="K26" s="31" t="str">
        <f>IF(OR('Summary Op Stmt (Operators)'!$J$20=0,'Summary Op Stmt (Operators)'!$J$20=""),"",J26/'Summary Op Stmt (Operators)'!$J$20)</f>
        <v/>
      </c>
      <c r="L26" s="26"/>
      <c r="M26" s="31" t="str">
        <f>IF(OR('Summary Op Stmt (Operators)'!$L$20=0,'Summary Op Stmt (Operators)'!$L$20=""),"",L26/'Summary Op Stmt (Operators)'!$L$20)</f>
        <v/>
      </c>
    </row>
    <row r="27" spans="1:13" x14ac:dyDescent="0.2">
      <c r="A27" s="35" t="s">
        <v>169</v>
      </c>
      <c r="B27" s="36">
        <f>B24+B25+B26</f>
        <v>0</v>
      </c>
      <c r="C27" s="37" t="str">
        <f>IF(OR('Summary Op Stmt (Operators)'!$B$20=0,'Summary Op Stmt (Operators)'!$B$20=""),"",B27/'Summary Op Stmt (Operators)'!$B$20)</f>
        <v/>
      </c>
      <c r="D27" s="36">
        <f>D24+D25+D26</f>
        <v>0</v>
      </c>
      <c r="E27" s="37" t="str">
        <f>IF(OR('Summary Op Stmt (Operators)'!$D$20=0,'Summary Op Stmt (Operators)'!$D$20=""),"",D27/'Summary Op Stmt (Operators)'!$D$20)</f>
        <v/>
      </c>
      <c r="F27" s="36">
        <f>F24+F25+F26</f>
        <v>0</v>
      </c>
      <c r="G27" s="37" t="str">
        <f>IF(OR('Summary Op Stmt (Operators)'!$F$20=0,'Summary Op Stmt (Operators)'!$F$20=""),"",F27/'Summary Op Stmt (Operators)'!$F$20)</f>
        <v/>
      </c>
      <c r="H27" s="36">
        <f>H24+H25+H26</f>
        <v>0</v>
      </c>
      <c r="I27" s="37" t="str">
        <f>IF(OR('Summary Op Stmt (Operators)'!$H$20=0,'Summary Op Stmt (Operators)'!$H$20=""),"",H27/'Summary Op Stmt (Operators)'!$H$20)</f>
        <v/>
      </c>
      <c r="J27" s="36">
        <f>J24+J25+J26</f>
        <v>0</v>
      </c>
      <c r="K27" s="37" t="str">
        <f>IF(OR('Summary Op Stmt (Operators)'!$J$20=0,'Summary Op Stmt (Operators)'!$J$20=""),"",J27/'Summary Op Stmt (Operators)'!$J$20)</f>
        <v/>
      </c>
      <c r="L27" s="36">
        <f>L24+L25+L26</f>
        <v>0</v>
      </c>
      <c r="M27" s="37" t="str">
        <f>IF(OR('Summary Op Stmt (Operators)'!$L$20=0,'Summary Op Stmt (Operators)'!$L$20=""),"",L27/'Summary Op Stmt (Operators)'!$L$20)</f>
        <v/>
      </c>
    </row>
    <row r="28" spans="1:13" x14ac:dyDescent="0.2">
      <c r="A28" s="35" t="s">
        <v>170</v>
      </c>
      <c r="B28" s="36">
        <f>B22+B27</f>
        <v>0</v>
      </c>
      <c r="C28" s="37" t="str">
        <f>IF(OR('Summary Op Stmt (Operators)'!$B$20=0,'Summary Op Stmt (Operators)'!$B$20=""),"",B28/'Summary Op Stmt (Operators)'!$B$20)</f>
        <v/>
      </c>
      <c r="D28" s="36">
        <f>D22+D27</f>
        <v>0</v>
      </c>
      <c r="E28" s="37" t="str">
        <f>IF(OR('Summary Op Stmt (Operators)'!$D$20=0,'Summary Op Stmt (Operators)'!$D$20=""),"",D28/'Summary Op Stmt (Operators)'!$D$20)</f>
        <v/>
      </c>
      <c r="F28" s="36">
        <f>F22+F27</f>
        <v>0</v>
      </c>
      <c r="G28" s="37" t="str">
        <f>IF(OR('Summary Op Stmt (Operators)'!$F$20=0,'Summary Op Stmt (Operators)'!$F$20=""),"",F28/'Summary Op Stmt (Operators)'!$F$20)</f>
        <v/>
      </c>
      <c r="H28" s="36">
        <f>H22+H27</f>
        <v>0</v>
      </c>
      <c r="I28" s="37" t="str">
        <f>IF(OR('Summary Op Stmt (Operators)'!$H$20=0,'Summary Op Stmt (Operators)'!$H$20=""),"",H28/'Summary Op Stmt (Operators)'!$H$20)</f>
        <v/>
      </c>
      <c r="J28" s="36">
        <f>J22+J27</f>
        <v>0</v>
      </c>
      <c r="K28" s="37" t="str">
        <f>IF(OR('Summary Op Stmt (Operators)'!$J$20=0,'Summary Op Stmt (Operators)'!$J$20=""),"",J28/'Summary Op Stmt (Operators)'!$J$20)</f>
        <v/>
      </c>
      <c r="L28" s="36">
        <f>L22+L27</f>
        <v>0</v>
      </c>
      <c r="M28" s="37" t="str">
        <f>IF(OR('Summary Op Stmt (Operators)'!$L$20=0,'Summary Op Stmt (Operators)'!$L$20=""),"",L28/'Summary Op Stmt (Operators)'!$L$20)</f>
        <v/>
      </c>
    </row>
    <row r="29" spans="1:13" x14ac:dyDescent="0.2">
      <c r="A29" s="23" t="s">
        <v>171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 x14ac:dyDescent="0.2">
      <c r="A30" s="25" t="s">
        <v>350</v>
      </c>
      <c r="B30" s="26"/>
      <c r="C30" s="31" t="str">
        <f>IF(OR('Summary Op Stmt (Operators)'!$B$20=0,'Summary Op Stmt (Operators)'!$B$20=""),"",B30/'Summary Op Stmt (Operators)'!$B$20)</f>
        <v/>
      </c>
      <c r="D30" s="26"/>
      <c r="E30" s="31" t="str">
        <f>IF(OR('Summary Op Stmt (Operators)'!$D$20=0,'Summary Op Stmt (Operators)'!$D$20=""),"",D30/'Summary Op Stmt (Operators)'!$D$20)</f>
        <v/>
      </c>
      <c r="F30" s="26"/>
      <c r="G30" s="31" t="str">
        <f>IF(OR('Summary Op Stmt (Operators)'!$F$20=0,'Summary Op Stmt (Operators)'!$F$20=""),"",F30/'Summary Op Stmt (Operators)'!$F$20)</f>
        <v/>
      </c>
      <c r="H30" s="26"/>
      <c r="I30" s="31" t="str">
        <f>IF(OR('Summary Op Stmt (Operators)'!$H$20=0,'Summary Op Stmt (Operators)'!$H$20=""),"",H30/'Summary Op Stmt (Operators)'!$H$20)</f>
        <v/>
      </c>
      <c r="J30" s="26"/>
      <c r="K30" s="31" t="str">
        <f>IF(OR('Summary Op Stmt (Operators)'!$J$20=0,'Summary Op Stmt (Operators)'!$J$20=""),"",J30/'Summary Op Stmt (Operators)'!$J$20)</f>
        <v/>
      </c>
      <c r="L30" s="26"/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351</v>
      </c>
      <c r="B31" s="26"/>
      <c r="C31" s="31" t="str">
        <f>IF(OR('Summary Op Stmt (Operators)'!$B$20=0,'Summary Op Stmt (Operators)'!$B$20=""),"",B31/'Summary Op Stmt (Operators)'!$B$20)</f>
        <v/>
      </c>
      <c r="D31" s="26"/>
      <c r="E31" s="31" t="str">
        <f>IF(OR('Summary Op Stmt (Operators)'!$D$20=0,'Summary Op Stmt (Operators)'!$D$20=""),"",D31/'Summary Op Stmt (Operators)'!$D$20)</f>
        <v/>
      </c>
      <c r="F31" s="26"/>
      <c r="G31" s="31" t="str">
        <f>IF(OR('Summary Op Stmt (Operators)'!$F$20=0,'Summary Op Stmt (Operators)'!$F$20=""),"",F31/'Summary Op Stmt (Operators)'!$F$20)</f>
        <v/>
      </c>
      <c r="H31" s="26"/>
      <c r="I31" s="31" t="str">
        <f>IF(OR('Summary Op Stmt (Operators)'!$H$20=0,'Summary Op Stmt (Operators)'!$H$20=""),"",H31/'Summary Op Stmt (Operators)'!$H$20)</f>
        <v/>
      </c>
      <c r="J31" s="26"/>
      <c r="K31" s="31" t="str">
        <f>IF(OR('Summary Op Stmt (Operators)'!$J$20=0,'Summary Op Stmt (Operators)'!$J$20=""),"",J31/'Summary Op Stmt (Operators)'!$J$20)</f>
        <v/>
      </c>
      <c r="L31" s="26"/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25" t="s">
        <v>352</v>
      </c>
      <c r="B32" s="26"/>
      <c r="C32" s="31" t="str">
        <f>IF(OR('Summary Op Stmt (Operators)'!$B$20=0,'Summary Op Stmt (Operators)'!$B$20=""),"",B32/'Summary Op Stmt (Operators)'!$B$20)</f>
        <v/>
      </c>
      <c r="D32" s="26"/>
      <c r="E32" s="31" t="str">
        <f>IF(OR('Summary Op Stmt (Operators)'!$D$20=0,'Summary Op Stmt (Operators)'!$D$20=""),"",D32/'Summary Op Stmt (Operators)'!$D$20)</f>
        <v/>
      </c>
      <c r="F32" s="26"/>
      <c r="G32" s="31" t="str">
        <f>IF(OR('Summary Op Stmt (Operators)'!$F$20=0,'Summary Op Stmt (Operators)'!$F$20=""),"",F32/'Summary Op Stmt (Operators)'!$F$20)</f>
        <v/>
      </c>
      <c r="H32" s="26"/>
      <c r="I32" s="31" t="str">
        <f>IF(OR('Summary Op Stmt (Operators)'!$H$20=0,'Summary Op Stmt (Operators)'!$H$20=""),"",H32/'Summary Op Stmt (Operators)'!$H$20)</f>
        <v/>
      </c>
      <c r="J32" s="26"/>
      <c r="K32" s="31" t="str">
        <f>IF(OR('Summary Op Stmt (Operators)'!$J$20=0,'Summary Op Stmt (Operators)'!$J$20=""),"",J32/'Summary Op Stmt (Operators)'!$J$20)</f>
        <v/>
      </c>
      <c r="L32" s="26"/>
      <c r="M32" s="31" t="str">
        <f>IF(OR('Summary Op Stmt (Operators)'!$L$20=0,'Summary Op Stmt (Operators)'!$L$20=""),"",L32/'Summary Op Stmt (Operators)'!$L$20)</f>
        <v/>
      </c>
    </row>
    <row r="33" spans="1:13" x14ac:dyDescent="0.2">
      <c r="A33" s="25" t="s">
        <v>353</v>
      </c>
      <c r="B33" s="26"/>
      <c r="C33" s="31" t="str">
        <f>IF(OR('Summary Op Stmt (Operators)'!$B$20=0,'Summary Op Stmt (Operators)'!$B$20=""),"",B33/'Summary Op Stmt (Operators)'!$B$20)</f>
        <v/>
      </c>
      <c r="D33" s="26"/>
      <c r="E33" s="31" t="str">
        <f>IF(OR('Summary Op Stmt (Operators)'!$D$20=0,'Summary Op Stmt (Operators)'!$D$20=""),"",D33/'Summary Op Stmt (Operators)'!$D$20)</f>
        <v/>
      </c>
      <c r="F33" s="26"/>
      <c r="G33" s="31" t="str">
        <f>IF(OR('Summary Op Stmt (Operators)'!$F$20=0,'Summary Op Stmt (Operators)'!$F$20=""),"",F33/'Summary Op Stmt (Operators)'!$F$20)</f>
        <v/>
      </c>
      <c r="H33" s="26"/>
      <c r="I33" s="31" t="str">
        <f>IF(OR('Summary Op Stmt (Operators)'!$H$20=0,'Summary Op Stmt (Operators)'!$H$20=""),"",H33/'Summary Op Stmt (Operators)'!$H$20)</f>
        <v/>
      </c>
      <c r="J33" s="26"/>
      <c r="K33" s="31" t="str">
        <f>IF(OR('Summary Op Stmt (Operators)'!$J$20=0,'Summary Op Stmt (Operators)'!$J$20=""),"",J33/'Summary Op Stmt (Operators)'!$J$20)</f>
        <v/>
      </c>
      <c r="L33" s="26"/>
      <c r="M33" s="31" t="str">
        <f>IF(OR('Summary Op Stmt (Operators)'!$L$20=0,'Summary Op Stmt (Operators)'!$L$20=""),"",L33/'Summary Op Stmt (Operators)'!$L$20)</f>
        <v/>
      </c>
    </row>
    <row r="34" spans="1:13" x14ac:dyDescent="0.2">
      <c r="A34" s="25" t="s">
        <v>173</v>
      </c>
      <c r="B34" s="26"/>
      <c r="C34" s="31" t="str">
        <f>IF(OR('Summary Op Stmt (Operators)'!$B$20=0,'Summary Op Stmt (Operators)'!$B$20=""),"",B34/'Summary Op Stmt (Operators)'!$B$20)</f>
        <v/>
      </c>
      <c r="D34" s="26"/>
      <c r="E34" s="31" t="str">
        <f>IF(OR('Summary Op Stmt (Operators)'!$D$20=0,'Summary Op Stmt (Operators)'!$D$20=""),"",D34/'Summary Op Stmt (Operators)'!$D$20)</f>
        <v/>
      </c>
      <c r="F34" s="26"/>
      <c r="G34" s="31" t="str">
        <f>IF(OR('Summary Op Stmt (Operators)'!$F$20=0,'Summary Op Stmt (Operators)'!$F$20=""),"",F34/'Summary Op Stmt (Operators)'!$F$20)</f>
        <v/>
      </c>
      <c r="H34" s="26"/>
      <c r="I34" s="31" t="str">
        <f>IF(OR('Summary Op Stmt (Operators)'!$H$20=0,'Summary Op Stmt (Operators)'!$H$20=""),"",H34/'Summary Op Stmt (Operators)'!$H$20)</f>
        <v/>
      </c>
      <c r="J34" s="26"/>
      <c r="K34" s="31" t="str">
        <f>IF(OR('Summary Op Stmt (Operators)'!$J$20=0,'Summary Op Stmt (Operators)'!$J$20=""),"",J34/'Summary Op Stmt (Operators)'!$J$20)</f>
        <v/>
      </c>
      <c r="L34" s="26"/>
      <c r="M34" s="31" t="str">
        <f>IF(OR('Summary Op Stmt (Operators)'!$L$20=0,'Summary Op Stmt (Operators)'!$L$20=""),"",L34/'Summary Op Stmt (Operators)'!$L$20)</f>
        <v/>
      </c>
    </row>
    <row r="35" spans="1:13" x14ac:dyDescent="0.2">
      <c r="A35" s="25" t="s">
        <v>178</v>
      </c>
      <c r="B35" s="26"/>
      <c r="C35" s="31" t="str">
        <f>IF(OR('Summary Op Stmt (Operators)'!$B$20=0,'Summary Op Stmt (Operators)'!$B$20=""),"",B35/'Summary Op Stmt (Operators)'!$B$20)</f>
        <v/>
      </c>
      <c r="D35" s="26"/>
      <c r="E35" s="31" t="str">
        <f>IF(OR('Summary Op Stmt (Operators)'!$D$20=0,'Summary Op Stmt (Operators)'!$D$20=""),"",D35/'Summary Op Stmt (Operators)'!$D$20)</f>
        <v/>
      </c>
      <c r="F35" s="26"/>
      <c r="G35" s="31" t="str">
        <f>IF(OR('Summary Op Stmt (Operators)'!$F$20=0,'Summary Op Stmt (Operators)'!$F$20=""),"",F35/'Summary Op Stmt (Operators)'!$F$20)</f>
        <v/>
      </c>
      <c r="H35" s="26"/>
      <c r="I35" s="31" t="str">
        <f>IF(OR('Summary Op Stmt (Operators)'!$H$20=0,'Summary Op Stmt (Operators)'!$H$20=""),"",H35/'Summary Op Stmt (Operators)'!$H$20)</f>
        <v/>
      </c>
      <c r="J35" s="26"/>
      <c r="K35" s="31" t="str">
        <f>IF(OR('Summary Op Stmt (Operators)'!$J$20=0,'Summary Op Stmt (Operators)'!$J$20=""),"",J35/'Summary Op Stmt (Operators)'!$J$20)</f>
        <v/>
      </c>
      <c r="L35" s="26"/>
      <c r="M35" s="31" t="str">
        <f>IF(OR('Summary Op Stmt (Operators)'!$L$20=0,'Summary Op Stmt (Operators)'!$L$20=""),"",L35/'Summary Op Stmt (Operators)'!$L$20)</f>
        <v/>
      </c>
    </row>
    <row r="36" spans="1:13" x14ac:dyDescent="0.2">
      <c r="A36" s="25" t="s">
        <v>179</v>
      </c>
      <c r="B36" s="26"/>
      <c r="C36" s="31" t="str">
        <f>IF(OR('Summary Op Stmt (Operators)'!$B$20=0,'Summary Op Stmt (Operators)'!$B$20=""),"",B36/'Summary Op Stmt (Operators)'!$B$20)</f>
        <v/>
      </c>
      <c r="D36" s="26"/>
      <c r="E36" s="31" t="str">
        <f>IF(OR('Summary Op Stmt (Operators)'!$D$20=0,'Summary Op Stmt (Operators)'!$D$20=""),"",D36/'Summary Op Stmt (Operators)'!$D$20)</f>
        <v/>
      </c>
      <c r="F36" s="26"/>
      <c r="G36" s="31" t="str">
        <f>IF(OR('Summary Op Stmt (Operators)'!$F$20=0,'Summary Op Stmt (Operators)'!$F$20=""),"",F36/'Summary Op Stmt (Operators)'!$F$20)</f>
        <v/>
      </c>
      <c r="H36" s="26"/>
      <c r="I36" s="31" t="str">
        <f>IF(OR('Summary Op Stmt (Operators)'!$H$20=0,'Summary Op Stmt (Operators)'!$H$20=""),"",H36/'Summary Op Stmt (Operators)'!$H$20)</f>
        <v/>
      </c>
      <c r="J36" s="26"/>
      <c r="K36" s="31" t="str">
        <f>IF(OR('Summary Op Stmt (Operators)'!$J$20=0,'Summary Op Stmt (Operators)'!$J$20=""),"",J36/'Summary Op Stmt (Operators)'!$J$20)</f>
        <v/>
      </c>
      <c r="L36" s="26"/>
      <c r="M36" s="31" t="str">
        <f>IF(OR('Summary Op Stmt (Operators)'!$L$20=0,'Summary Op Stmt (Operators)'!$L$20=""),"",L36/'Summary Op Stmt (Operators)'!$L$20)</f>
        <v/>
      </c>
    </row>
    <row r="37" spans="1:13" x14ac:dyDescent="0.2">
      <c r="A37" s="25" t="s">
        <v>180</v>
      </c>
      <c r="B37" s="26"/>
      <c r="C37" s="31" t="str">
        <f>IF(OR('Summary Op Stmt (Operators)'!$B$20=0,'Summary Op Stmt (Operators)'!$B$20=""),"",B37/'Summary Op Stmt (Operators)'!$B$20)</f>
        <v/>
      </c>
      <c r="D37" s="26"/>
      <c r="E37" s="31" t="str">
        <f>IF(OR('Summary Op Stmt (Operators)'!$D$20=0,'Summary Op Stmt (Operators)'!$D$20=""),"",D37/'Summary Op Stmt (Operators)'!$D$20)</f>
        <v/>
      </c>
      <c r="F37" s="26"/>
      <c r="G37" s="31" t="str">
        <f>IF(OR('Summary Op Stmt (Operators)'!$F$20=0,'Summary Op Stmt (Operators)'!$F$20=""),"",F37/'Summary Op Stmt (Operators)'!$F$20)</f>
        <v/>
      </c>
      <c r="H37" s="26"/>
      <c r="I37" s="31" t="str">
        <f>IF(OR('Summary Op Stmt (Operators)'!$H$20=0,'Summary Op Stmt (Operators)'!$H$20=""),"",H37/'Summary Op Stmt (Operators)'!$H$20)</f>
        <v/>
      </c>
      <c r="J37" s="26"/>
      <c r="K37" s="31" t="str">
        <f>IF(OR('Summary Op Stmt (Operators)'!$J$20=0,'Summary Op Stmt (Operators)'!$J$20=""),"",J37/'Summary Op Stmt (Operators)'!$J$20)</f>
        <v/>
      </c>
      <c r="L37" s="26"/>
      <c r="M37" s="31" t="str">
        <f>IF(OR('Summary Op Stmt (Operators)'!$L$20=0,'Summary Op Stmt (Operators)'!$L$20=""),"",L37/'Summary Op Stmt (Operators)'!$L$20)</f>
        <v/>
      </c>
    </row>
    <row r="38" spans="1:13" x14ac:dyDescent="0.2">
      <c r="A38" s="25" t="s">
        <v>354</v>
      </c>
      <c r="B38" s="26"/>
      <c r="C38" s="31" t="str">
        <f>IF(OR('Summary Op Stmt (Operators)'!$B$20=0,'Summary Op Stmt (Operators)'!$B$20=""),"",B38/'Summary Op Stmt (Operators)'!$B$20)</f>
        <v/>
      </c>
      <c r="D38" s="26"/>
      <c r="E38" s="31" t="str">
        <f>IF(OR('Summary Op Stmt (Operators)'!$D$20=0,'Summary Op Stmt (Operators)'!$D$20=""),"",D38/'Summary Op Stmt (Operators)'!$D$20)</f>
        <v/>
      </c>
      <c r="F38" s="26"/>
      <c r="G38" s="31" t="str">
        <f>IF(OR('Summary Op Stmt (Operators)'!$F$20=0,'Summary Op Stmt (Operators)'!$F$20=""),"",F38/'Summary Op Stmt (Operators)'!$F$20)</f>
        <v/>
      </c>
      <c r="H38" s="26"/>
      <c r="I38" s="31" t="str">
        <f>IF(OR('Summary Op Stmt (Operators)'!$H$20=0,'Summary Op Stmt (Operators)'!$H$20=""),"",H38/'Summary Op Stmt (Operators)'!$H$20)</f>
        <v/>
      </c>
      <c r="J38" s="26"/>
      <c r="K38" s="31" t="str">
        <f>IF(OR('Summary Op Stmt (Operators)'!$J$20=0,'Summary Op Stmt (Operators)'!$J$20=""),"",J38/'Summary Op Stmt (Operators)'!$J$20)</f>
        <v/>
      </c>
      <c r="L38" s="26"/>
      <c r="M38" s="31" t="str">
        <f>IF(OR('Summary Op Stmt (Operators)'!$L$20=0,'Summary Op Stmt (Operators)'!$L$20=""),"",L38/'Summary Op Stmt (Operators)'!$L$20)</f>
        <v/>
      </c>
    </row>
    <row r="39" spans="1:13" x14ac:dyDescent="0.2">
      <c r="A39" s="25" t="s">
        <v>355</v>
      </c>
      <c r="B39" s="26"/>
      <c r="C39" s="31" t="str">
        <f>IF(OR('Summary Op Stmt (Operators)'!$B$20=0,'Summary Op Stmt (Operators)'!$B$20=""),"",B39/'Summary Op Stmt (Operators)'!$B$20)</f>
        <v/>
      </c>
      <c r="D39" s="26"/>
      <c r="E39" s="31" t="str">
        <f>IF(OR('Summary Op Stmt (Operators)'!$D$20=0,'Summary Op Stmt (Operators)'!$D$20=""),"",D39/'Summary Op Stmt (Operators)'!$D$20)</f>
        <v/>
      </c>
      <c r="F39" s="26"/>
      <c r="G39" s="31" t="str">
        <f>IF(OR('Summary Op Stmt (Operators)'!$F$20=0,'Summary Op Stmt (Operators)'!$F$20=""),"",F39/'Summary Op Stmt (Operators)'!$F$20)</f>
        <v/>
      </c>
      <c r="H39" s="26"/>
      <c r="I39" s="31" t="str">
        <f>IF(OR('Summary Op Stmt (Operators)'!$H$20=0,'Summary Op Stmt (Operators)'!$H$20=""),"",H39/'Summary Op Stmt (Operators)'!$H$20)</f>
        <v/>
      </c>
      <c r="J39" s="26"/>
      <c r="K39" s="31" t="str">
        <f>IF(OR('Summary Op Stmt (Operators)'!$J$20=0,'Summary Op Stmt (Operators)'!$J$20=""),"",J39/'Summary Op Stmt (Operators)'!$J$20)</f>
        <v/>
      </c>
      <c r="L39" s="26"/>
      <c r="M39" s="31" t="str">
        <f>IF(OR('Summary Op Stmt (Operators)'!$L$20=0,'Summary Op Stmt (Operators)'!$L$20=""),"",L39/'Summary Op Stmt (Operators)'!$L$20)</f>
        <v/>
      </c>
    </row>
    <row r="40" spans="1:13" x14ac:dyDescent="0.2">
      <c r="A40" s="25" t="s">
        <v>181</v>
      </c>
      <c r="B40" s="26"/>
      <c r="C40" s="31" t="str">
        <f>IF(OR('Summary Op Stmt (Operators)'!$B$20=0,'Summary Op Stmt (Operators)'!$B$20=""),"",B40/'Summary Op Stmt (Operators)'!$B$20)</f>
        <v/>
      </c>
      <c r="D40" s="26"/>
      <c r="E40" s="31" t="str">
        <f>IF(OR('Summary Op Stmt (Operators)'!$D$20=0,'Summary Op Stmt (Operators)'!$D$20=""),"",D40/'Summary Op Stmt (Operators)'!$D$20)</f>
        <v/>
      </c>
      <c r="F40" s="26"/>
      <c r="G40" s="31" t="str">
        <f>IF(OR('Summary Op Stmt (Operators)'!$F$20=0,'Summary Op Stmt (Operators)'!$F$20=""),"",F40/'Summary Op Stmt (Operators)'!$F$20)</f>
        <v/>
      </c>
      <c r="H40" s="26"/>
      <c r="I40" s="31" t="str">
        <f>IF(OR('Summary Op Stmt (Operators)'!$H$20=0,'Summary Op Stmt (Operators)'!$H$20=""),"",H40/'Summary Op Stmt (Operators)'!$H$20)</f>
        <v/>
      </c>
      <c r="J40" s="26"/>
      <c r="K40" s="31" t="str">
        <f>IF(OR('Summary Op Stmt (Operators)'!$J$20=0,'Summary Op Stmt (Operators)'!$J$20=""),"",J40/'Summary Op Stmt (Operators)'!$J$20)</f>
        <v/>
      </c>
      <c r="L40" s="26"/>
      <c r="M40" s="31" t="str">
        <f>IF(OR('Summary Op Stmt (Operators)'!$L$20=0,'Summary Op Stmt (Operators)'!$L$20=""),"",L40/'Summary Op Stmt (Operators)'!$L$20)</f>
        <v/>
      </c>
    </row>
    <row r="41" spans="1:13" x14ac:dyDescent="0.2">
      <c r="A41" s="25" t="s">
        <v>356</v>
      </c>
      <c r="B41" s="26"/>
      <c r="C41" s="31" t="str">
        <f>IF(OR('Summary Op Stmt (Operators)'!$B$20=0,'Summary Op Stmt (Operators)'!$B$20=""),"",B41/'Summary Op Stmt (Operators)'!$B$20)</f>
        <v/>
      </c>
      <c r="D41" s="26"/>
      <c r="E41" s="31" t="str">
        <f>IF(OR('Summary Op Stmt (Operators)'!$D$20=0,'Summary Op Stmt (Operators)'!$D$20=""),"",D41/'Summary Op Stmt (Operators)'!$D$20)</f>
        <v/>
      </c>
      <c r="F41" s="26"/>
      <c r="G41" s="31" t="str">
        <f>IF(OR('Summary Op Stmt (Operators)'!$F$20=0,'Summary Op Stmt (Operators)'!$F$20=""),"",F41/'Summary Op Stmt (Operators)'!$F$20)</f>
        <v/>
      </c>
      <c r="H41" s="26"/>
      <c r="I41" s="31" t="str">
        <f>IF(OR('Summary Op Stmt (Operators)'!$H$20=0,'Summary Op Stmt (Operators)'!$H$20=""),"",H41/'Summary Op Stmt (Operators)'!$H$20)</f>
        <v/>
      </c>
      <c r="J41" s="26"/>
      <c r="K41" s="31" t="str">
        <f>IF(OR('Summary Op Stmt (Operators)'!$J$20=0,'Summary Op Stmt (Operators)'!$J$20=""),"",J41/'Summary Op Stmt (Operators)'!$J$20)</f>
        <v/>
      </c>
      <c r="L41" s="26"/>
      <c r="M41" s="31" t="str">
        <f>IF(OR('Summary Op Stmt (Operators)'!$L$20=0,'Summary Op Stmt (Operators)'!$L$20=""),"",L41/'Summary Op Stmt (Operators)'!$L$20)</f>
        <v/>
      </c>
    </row>
    <row r="42" spans="1:13" x14ac:dyDescent="0.2">
      <c r="A42" s="25" t="s">
        <v>182</v>
      </c>
      <c r="B42" s="26"/>
      <c r="C42" s="31" t="str">
        <f>IF(OR('Summary Op Stmt (Operators)'!$B$20=0,'Summary Op Stmt (Operators)'!$B$20=""),"",B42/'Summary Op Stmt (Operators)'!$B$20)</f>
        <v/>
      </c>
      <c r="D42" s="26"/>
      <c r="E42" s="31" t="str">
        <f>IF(OR('Summary Op Stmt (Operators)'!$D$20=0,'Summary Op Stmt (Operators)'!$D$20=""),"",D42/'Summary Op Stmt (Operators)'!$D$20)</f>
        <v/>
      </c>
      <c r="F42" s="26"/>
      <c r="G42" s="31" t="str">
        <f>IF(OR('Summary Op Stmt (Operators)'!$F$20=0,'Summary Op Stmt (Operators)'!$F$20=""),"",F42/'Summary Op Stmt (Operators)'!$F$20)</f>
        <v/>
      </c>
      <c r="H42" s="26"/>
      <c r="I42" s="31" t="str">
        <f>IF(OR('Summary Op Stmt (Operators)'!$H$20=0,'Summary Op Stmt (Operators)'!$H$20=""),"",H42/'Summary Op Stmt (Operators)'!$H$20)</f>
        <v/>
      </c>
      <c r="J42" s="26"/>
      <c r="K42" s="31" t="str">
        <f>IF(OR('Summary Op Stmt (Operators)'!$J$20=0,'Summary Op Stmt (Operators)'!$J$20=""),"",J42/'Summary Op Stmt (Operators)'!$J$20)</f>
        <v/>
      </c>
      <c r="L42" s="26"/>
      <c r="M42" s="31" t="str">
        <f>IF(OR('Summary Op Stmt (Operators)'!$L$20=0,'Summary Op Stmt (Operators)'!$L$20=""),"",L42/'Summary Op Stmt (Operators)'!$L$20)</f>
        <v/>
      </c>
    </row>
    <row r="43" spans="1:13" x14ac:dyDescent="0.2">
      <c r="A43" s="25" t="s">
        <v>183</v>
      </c>
      <c r="B43" s="26"/>
      <c r="C43" s="31" t="str">
        <f>IF(OR('Summary Op Stmt (Operators)'!$B$20=0,'Summary Op Stmt (Operators)'!$B$20=""),"",B43/'Summary Op Stmt (Operators)'!$B$20)</f>
        <v/>
      </c>
      <c r="D43" s="26"/>
      <c r="E43" s="31" t="str">
        <f>IF(OR('Summary Op Stmt (Operators)'!$D$20=0,'Summary Op Stmt (Operators)'!$D$20=""),"",D43/'Summary Op Stmt (Operators)'!$D$20)</f>
        <v/>
      </c>
      <c r="F43" s="26"/>
      <c r="G43" s="31" t="str">
        <f>IF(OR('Summary Op Stmt (Operators)'!$F$20=0,'Summary Op Stmt (Operators)'!$F$20=""),"",F43/'Summary Op Stmt (Operators)'!$F$20)</f>
        <v/>
      </c>
      <c r="H43" s="26"/>
      <c r="I43" s="31" t="str">
        <f>IF(OR('Summary Op Stmt (Operators)'!$H$20=0,'Summary Op Stmt (Operators)'!$H$20=""),"",H43/'Summary Op Stmt (Operators)'!$H$20)</f>
        <v/>
      </c>
      <c r="J43" s="26"/>
      <c r="K43" s="31" t="str">
        <f>IF(OR('Summary Op Stmt (Operators)'!$J$20=0,'Summary Op Stmt (Operators)'!$J$20=""),"",J43/'Summary Op Stmt (Operators)'!$J$20)</f>
        <v/>
      </c>
      <c r="L43" s="26"/>
      <c r="M43" s="31" t="str">
        <f>IF(OR('Summary Op Stmt (Operators)'!$L$20=0,'Summary Op Stmt (Operators)'!$L$20=""),"",L43/'Summary Op Stmt (Operators)'!$L$20)</f>
        <v/>
      </c>
    </row>
    <row r="44" spans="1:13" x14ac:dyDescent="0.2">
      <c r="A44" s="25" t="s">
        <v>184</v>
      </c>
      <c r="B44" s="26"/>
      <c r="C44" s="31" t="str">
        <f>IF(OR('Summary Op Stmt (Operators)'!$B$20=0,'Summary Op Stmt (Operators)'!$B$20=""),"",B44/'Summary Op Stmt (Operators)'!$B$20)</f>
        <v/>
      </c>
      <c r="D44" s="26"/>
      <c r="E44" s="31" t="str">
        <f>IF(OR('Summary Op Stmt (Operators)'!$D$20=0,'Summary Op Stmt (Operators)'!$D$20=""),"",D44/'Summary Op Stmt (Operators)'!$D$20)</f>
        <v/>
      </c>
      <c r="F44" s="26"/>
      <c r="G44" s="31" t="str">
        <f>IF(OR('Summary Op Stmt (Operators)'!$F$20=0,'Summary Op Stmt (Operators)'!$F$20=""),"",F44/'Summary Op Stmt (Operators)'!$F$20)</f>
        <v/>
      </c>
      <c r="H44" s="26"/>
      <c r="I44" s="31" t="str">
        <f>IF(OR('Summary Op Stmt (Operators)'!$H$20=0,'Summary Op Stmt (Operators)'!$H$20=""),"",H44/'Summary Op Stmt (Operators)'!$H$20)</f>
        <v/>
      </c>
      <c r="J44" s="26"/>
      <c r="K44" s="31" t="str">
        <f>IF(OR('Summary Op Stmt (Operators)'!$J$20=0,'Summary Op Stmt (Operators)'!$J$20=""),"",J44/'Summary Op Stmt (Operators)'!$J$20)</f>
        <v/>
      </c>
      <c r="L44" s="26"/>
      <c r="M44" s="31" t="str">
        <f>IF(OR('Summary Op Stmt (Operators)'!$L$20=0,'Summary Op Stmt (Operators)'!$L$20=""),"",L44/'Summary Op Stmt (Operators)'!$L$20)</f>
        <v/>
      </c>
    </row>
    <row r="45" spans="1:13" x14ac:dyDescent="0.2">
      <c r="A45" s="25" t="s">
        <v>357</v>
      </c>
      <c r="B45" s="26"/>
      <c r="C45" s="31" t="str">
        <f>IF(OR('Summary Op Stmt (Operators)'!$B$20=0,'Summary Op Stmt (Operators)'!$B$20=""),"",B45/'Summary Op Stmt (Operators)'!$B$20)</f>
        <v/>
      </c>
      <c r="D45" s="26"/>
      <c r="E45" s="31" t="str">
        <f>IF(OR('Summary Op Stmt (Operators)'!$D$20=0,'Summary Op Stmt (Operators)'!$D$20=""),"",D45/'Summary Op Stmt (Operators)'!$D$20)</f>
        <v/>
      </c>
      <c r="F45" s="26"/>
      <c r="G45" s="31" t="str">
        <f>IF(OR('Summary Op Stmt (Operators)'!$F$20=0,'Summary Op Stmt (Operators)'!$F$20=""),"",F45/'Summary Op Stmt (Operators)'!$F$20)</f>
        <v/>
      </c>
      <c r="H45" s="26"/>
      <c r="I45" s="31" t="str">
        <f>IF(OR('Summary Op Stmt (Operators)'!$H$20=0,'Summary Op Stmt (Operators)'!$H$20=""),"",H45/'Summary Op Stmt (Operators)'!$H$20)</f>
        <v/>
      </c>
      <c r="J45" s="26"/>
      <c r="K45" s="31" t="str">
        <f>IF(OR('Summary Op Stmt (Operators)'!$J$20=0,'Summary Op Stmt (Operators)'!$J$20=""),"",J45/'Summary Op Stmt (Operators)'!$J$20)</f>
        <v/>
      </c>
      <c r="L45" s="26"/>
      <c r="M45" s="31" t="str">
        <f>IF(OR('Summary Op Stmt (Operators)'!$L$20=0,'Summary Op Stmt (Operators)'!$L$20=""),"",L45/'Summary Op Stmt (Operators)'!$L$20)</f>
        <v/>
      </c>
    </row>
    <row r="46" spans="1:13" x14ac:dyDescent="0.2">
      <c r="A46" s="25" t="s">
        <v>358</v>
      </c>
      <c r="B46" s="26"/>
      <c r="C46" s="31" t="str">
        <f>IF(OR('Summary Op Stmt (Operators)'!$B$20=0,'Summary Op Stmt (Operators)'!$B$20=""),"",B46/'Summary Op Stmt (Operators)'!$B$20)</f>
        <v/>
      </c>
      <c r="D46" s="26"/>
      <c r="E46" s="31" t="str">
        <f>IF(OR('Summary Op Stmt (Operators)'!$D$20=0,'Summary Op Stmt (Operators)'!$D$20=""),"",D46/'Summary Op Stmt (Operators)'!$D$20)</f>
        <v/>
      </c>
      <c r="F46" s="26"/>
      <c r="G46" s="31" t="str">
        <f>IF(OR('Summary Op Stmt (Operators)'!$F$20=0,'Summary Op Stmt (Operators)'!$F$20=""),"",F46/'Summary Op Stmt (Operators)'!$F$20)</f>
        <v/>
      </c>
      <c r="H46" s="26"/>
      <c r="I46" s="31" t="str">
        <f>IF(OR('Summary Op Stmt (Operators)'!$H$20=0,'Summary Op Stmt (Operators)'!$H$20=""),"",H46/'Summary Op Stmt (Operators)'!$H$20)</f>
        <v/>
      </c>
      <c r="J46" s="26"/>
      <c r="K46" s="31" t="str">
        <f>IF(OR('Summary Op Stmt (Operators)'!$J$20=0,'Summary Op Stmt (Operators)'!$J$20=""),"",J46/'Summary Op Stmt (Operators)'!$J$20)</f>
        <v/>
      </c>
      <c r="L46" s="26"/>
      <c r="M46" s="31" t="str">
        <f>IF(OR('Summary Op Stmt (Operators)'!$L$20=0,'Summary Op Stmt (Operators)'!$L$20=""),"",L46/'Summary Op Stmt (Operators)'!$L$20)</f>
        <v/>
      </c>
    </row>
    <row r="47" spans="1:13" x14ac:dyDescent="0.2">
      <c r="A47" s="25" t="s">
        <v>189</v>
      </c>
      <c r="B47" s="26"/>
      <c r="C47" s="31" t="str">
        <f>IF(OR('Summary Op Stmt (Operators)'!$B$20=0,'Summary Op Stmt (Operators)'!$B$20=""),"",B47/'Summary Op Stmt (Operators)'!$B$20)</f>
        <v/>
      </c>
      <c r="D47" s="26"/>
      <c r="E47" s="31" t="str">
        <f>IF(OR('Summary Op Stmt (Operators)'!$D$20=0,'Summary Op Stmt (Operators)'!$D$20=""),"",D47/'Summary Op Stmt (Operators)'!$D$20)</f>
        <v/>
      </c>
      <c r="F47" s="26"/>
      <c r="G47" s="31" t="str">
        <f>IF(OR('Summary Op Stmt (Operators)'!$F$20=0,'Summary Op Stmt (Operators)'!$F$20=""),"",F47/'Summary Op Stmt (Operators)'!$F$20)</f>
        <v/>
      </c>
      <c r="H47" s="26"/>
      <c r="I47" s="31" t="str">
        <f>IF(OR('Summary Op Stmt (Operators)'!$H$20=0,'Summary Op Stmt (Operators)'!$H$20=""),"",H47/'Summary Op Stmt (Operators)'!$H$20)</f>
        <v/>
      </c>
      <c r="J47" s="26"/>
      <c r="K47" s="31" t="str">
        <f>IF(OR('Summary Op Stmt (Operators)'!$J$20=0,'Summary Op Stmt (Operators)'!$J$20=""),"",J47/'Summary Op Stmt (Operators)'!$J$20)</f>
        <v/>
      </c>
      <c r="L47" s="26"/>
      <c r="M47" s="31" t="str">
        <f>IF(OR('Summary Op Stmt (Operators)'!$L$20=0,'Summary Op Stmt (Operators)'!$L$20=""),"",L47/'Summary Op Stmt (Operators)'!$L$20)</f>
        <v/>
      </c>
    </row>
    <row r="48" spans="1:13" x14ac:dyDescent="0.2">
      <c r="A48" s="25" t="s">
        <v>359</v>
      </c>
      <c r="B48" s="26"/>
      <c r="C48" s="31" t="str">
        <f>IF(OR('Summary Op Stmt (Operators)'!$B$20=0,'Summary Op Stmt (Operators)'!$B$20=""),"",B48/'Summary Op Stmt (Operators)'!$B$20)</f>
        <v/>
      </c>
      <c r="D48" s="26"/>
      <c r="E48" s="31" t="str">
        <f>IF(OR('Summary Op Stmt (Operators)'!$D$20=0,'Summary Op Stmt (Operators)'!$D$20=""),"",D48/'Summary Op Stmt (Operators)'!$D$20)</f>
        <v/>
      </c>
      <c r="F48" s="26"/>
      <c r="G48" s="31" t="str">
        <f>IF(OR('Summary Op Stmt (Operators)'!$F$20=0,'Summary Op Stmt (Operators)'!$F$20=""),"",F48/'Summary Op Stmt (Operators)'!$F$20)</f>
        <v/>
      </c>
      <c r="H48" s="26"/>
      <c r="I48" s="31" t="str">
        <f>IF(OR('Summary Op Stmt (Operators)'!$H$20=0,'Summary Op Stmt (Operators)'!$H$20=""),"",H48/'Summary Op Stmt (Operators)'!$H$20)</f>
        <v/>
      </c>
      <c r="J48" s="26"/>
      <c r="K48" s="31" t="str">
        <f>IF(OR('Summary Op Stmt (Operators)'!$J$20=0,'Summary Op Stmt (Operators)'!$J$20=""),"",J48/'Summary Op Stmt (Operators)'!$J$20)</f>
        <v/>
      </c>
      <c r="L48" s="26"/>
      <c r="M48" s="31" t="str">
        <f>IF(OR('Summary Op Stmt (Operators)'!$L$20=0,'Summary Op Stmt (Operators)'!$L$20=""),"",L48/'Summary Op Stmt (Operators)'!$L$20)</f>
        <v/>
      </c>
    </row>
    <row r="49" spans="1:13" x14ac:dyDescent="0.2">
      <c r="A49" s="25" t="s">
        <v>191</v>
      </c>
      <c r="B49" s="26"/>
      <c r="C49" s="31" t="str">
        <f>IF(OR('Summary Op Stmt (Operators)'!$B$20=0,'Summary Op Stmt (Operators)'!$B$20=""),"",B49/'Summary Op Stmt (Operators)'!$B$20)</f>
        <v/>
      </c>
      <c r="D49" s="26"/>
      <c r="E49" s="31" t="str">
        <f>IF(OR('Summary Op Stmt (Operators)'!$D$20=0,'Summary Op Stmt (Operators)'!$D$20=""),"",D49/'Summary Op Stmt (Operators)'!$D$20)</f>
        <v/>
      </c>
      <c r="F49" s="26"/>
      <c r="G49" s="31" t="str">
        <f>IF(OR('Summary Op Stmt (Operators)'!$F$20=0,'Summary Op Stmt (Operators)'!$F$20=""),"",F49/'Summary Op Stmt (Operators)'!$F$20)</f>
        <v/>
      </c>
      <c r="H49" s="26"/>
      <c r="I49" s="31" t="str">
        <f>IF(OR('Summary Op Stmt (Operators)'!$H$20=0,'Summary Op Stmt (Operators)'!$H$20=""),"",H49/'Summary Op Stmt (Operators)'!$H$20)</f>
        <v/>
      </c>
      <c r="J49" s="26"/>
      <c r="K49" s="31" t="str">
        <f>IF(OR('Summary Op Stmt (Operators)'!$J$20=0,'Summary Op Stmt (Operators)'!$J$20=""),"",J49/'Summary Op Stmt (Operators)'!$J$20)</f>
        <v/>
      </c>
      <c r="L49" s="26"/>
      <c r="M49" s="31" t="str">
        <f>IF(OR('Summary Op Stmt (Operators)'!$L$20=0,'Summary Op Stmt (Operators)'!$L$20=""),"",L49/'Summary Op Stmt (Operators)'!$L$20)</f>
        <v/>
      </c>
    </row>
    <row r="50" spans="1:13" x14ac:dyDescent="0.2">
      <c r="A50" s="25" t="s">
        <v>360</v>
      </c>
      <c r="B50" s="26"/>
      <c r="C50" s="31" t="str">
        <f>IF(OR('Summary Op Stmt (Operators)'!$B$20=0,'Summary Op Stmt (Operators)'!$B$20=""),"",B50/'Summary Op Stmt (Operators)'!$B$20)</f>
        <v/>
      </c>
      <c r="D50" s="26"/>
      <c r="E50" s="31" t="str">
        <f>IF(OR('Summary Op Stmt (Operators)'!$D$20=0,'Summary Op Stmt (Operators)'!$D$20=""),"",D50/'Summary Op Stmt (Operators)'!$D$20)</f>
        <v/>
      </c>
      <c r="F50" s="26"/>
      <c r="G50" s="31" t="str">
        <f>IF(OR('Summary Op Stmt (Operators)'!$F$20=0,'Summary Op Stmt (Operators)'!$F$20=""),"",F50/'Summary Op Stmt (Operators)'!$F$20)</f>
        <v/>
      </c>
      <c r="H50" s="26"/>
      <c r="I50" s="31" t="str">
        <f>IF(OR('Summary Op Stmt (Operators)'!$H$20=0,'Summary Op Stmt (Operators)'!$H$20=""),"",H50/'Summary Op Stmt (Operators)'!$H$20)</f>
        <v/>
      </c>
      <c r="J50" s="26"/>
      <c r="K50" s="31" t="str">
        <f>IF(OR('Summary Op Stmt (Operators)'!$J$20=0,'Summary Op Stmt (Operators)'!$J$20=""),"",J50/'Summary Op Stmt (Operators)'!$J$20)</f>
        <v/>
      </c>
      <c r="L50" s="26"/>
      <c r="M50" s="31" t="str">
        <f>IF(OR('Summary Op Stmt (Operators)'!$L$20=0,'Summary Op Stmt (Operators)'!$L$20=""),"",L50/'Summary Op Stmt (Operators)'!$L$20)</f>
        <v/>
      </c>
    </row>
    <row r="51" spans="1:13" x14ac:dyDescent="0.2">
      <c r="A51" s="25" t="s">
        <v>192</v>
      </c>
      <c r="B51" s="26"/>
      <c r="C51" s="31" t="str">
        <f>IF(OR('Summary Op Stmt (Operators)'!$B$20=0,'Summary Op Stmt (Operators)'!$B$20=""),"",B51/'Summary Op Stmt (Operators)'!$B$20)</f>
        <v/>
      </c>
      <c r="D51" s="26"/>
      <c r="E51" s="31" t="str">
        <f>IF(OR('Summary Op Stmt (Operators)'!$D$20=0,'Summary Op Stmt (Operators)'!$D$20=""),"",D51/'Summary Op Stmt (Operators)'!$D$20)</f>
        <v/>
      </c>
      <c r="F51" s="26"/>
      <c r="G51" s="31" t="str">
        <f>IF(OR('Summary Op Stmt (Operators)'!$F$20=0,'Summary Op Stmt (Operators)'!$F$20=""),"",F51/'Summary Op Stmt (Operators)'!$F$20)</f>
        <v/>
      </c>
      <c r="H51" s="26"/>
      <c r="I51" s="31" t="str">
        <f>IF(OR('Summary Op Stmt (Operators)'!$H$20=0,'Summary Op Stmt (Operators)'!$H$20=""),"",H51/'Summary Op Stmt (Operators)'!$H$20)</f>
        <v/>
      </c>
      <c r="J51" s="26"/>
      <c r="K51" s="31" t="str">
        <f>IF(OR('Summary Op Stmt (Operators)'!$J$20=0,'Summary Op Stmt (Operators)'!$J$20=""),"",J51/'Summary Op Stmt (Operators)'!$J$20)</f>
        <v/>
      </c>
      <c r="L51" s="26"/>
      <c r="M51" s="31" t="str">
        <f>IF(OR('Summary Op Stmt (Operators)'!$L$20=0,'Summary Op Stmt (Operators)'!$L$20=""),"",L51/'Summary Op Stmt (Operators)'!$L$20)</f>
        <v/>
      </c>
    </row>
    <row r="52" spans="1:13" x14ac:dyDescent="0.2">
      <c r="A52" s="25" t="s">
        <v>361</v>
      </c>
      <c r="B52" s="26"/>
      <c r="C52" s="31" t="str">
        <f>IF(OR('Summary Op Stmt (Operators)'!$B$20=0,'Summary Op Stmt (Operators)'!$B$20=""),"",B52/'Summary Op Stmt (Operators)'!$B$20)</f>
        <v/>
      </c>
      <c r="D52" s="26"/>
      <c r="E52" s="31" t="str">
        <f>IF(OR('Summary Op Stmt (Operators)'!$D$20=0,'Summary Op Stmt (Operators)'!$D$20=""),"",D52/'Summary Op Stmt (Operators)'!$D$20)</f>
        <v/>
      </c>
      <c r="F52" s="26"/>
      <c r="G52" s="31" t="str">
        <f>IF(OR('Summary Op Stmt (Operators)'!$F$20=0,'Summary Op Stmt (Operators)'!$F$20=""),"",F52/'Summary Op Stmt (Operators)'!$F$20)</f>
        <v/>
      </c>
      <c r="H52" s="26"/>
      <c r="I52" s="31" t="str">
        <f>IF(OR('Summary Op Stmt (Operators)'!$H$20=0,'Summary Op Stmt (Operators)'!$H$20=""),"",H52/'Summary Op Stmt (Operators)'!$H$20)</f>
        <v/>
      </c>
      <c r="J52" s="26"/>
      <c r="K52" s="31" t="str">
        <f>IF(OR('Summary Op Stmt (Operators)'!$J$20=0,'Summary Op Stmt (Operators)'!$J$20=""),"",J52/'Summary Op Stmt (Operators)'!$J$20)</f>
        <v/>
      </c>
      <c r="L52" s="26"/>
      <c r="M52" s="31" t="str">
        <f>IF(OR('Summary Op Stmt (Operators)'!$L$20=0,'Summary Op Stmt (Operators)'!$L$20=""),"",L52/'Summary Op Stmt (Operators)'!$L$20)</f>
        <v/>
      </c>
    </row>
    <row r="53" spans="1:13" x14ac:dyDescent="0.2">
      <c r="A53" s="25" t="s">
        <v>193</v>
      </c>
      <c r="B53" s="26"/>
      <c r="C53" s="31" t="str">
        <f>IF(OR('Summary Op Stmt (Operators)'!$B$20=0,'Summary Op Stmt (Operators)'!$B$20=""),"",B53/'Summary Op Stmt (Operators)'!$B$20)</f>
        <v/>
      </c>
      <c r="D53" s="26"/>
      <c r="E53" s="31" t="str">
        <f>IF(OR('Summary Op Stmt (Operators)'!$D$20=0,'Summary Op Stmt (Operators)'!$D$20=""),"",D53/'Summary Op Stmt (Operators)'!$D$20)</f>
        <v/>
      </c>
      <c r="F53" s="26"/>
      <c r="G53" s="31" t="str">
        <f>IF(OR('Summary Op Stmt (Operators)'!$F$20=0,'Summary Op Stmt (Operators)'!$F$20=""),"",F53/'Summary Op Stmt (Operators)'!$F$20)</f>
        <v/>
      </c>
      <c r="H53" s="26"/>
      <c r="I53" s="31" t="str">
        <f>IF(OR('Summary Op Stmt (Operators)'!$H$20=0,'Summary Op Stmt (Operators)'!$H$20=""),"",H53/'Summary Op Stmt (Operators)'!$H$20)</f>
        <v/>
      </c>
      <c r="J53" s="26"/>
      <c r="K53" s="31" t="str">
        <f>IF(OR('Summary Op Stmt (Operators)'!$J$20=0,'Summary Op Stmt (Operators)'!$J$20=""),"",J53/'Summary Op Stmt (Operators)'!$J$20)</f>
        <v/>
      </c>
      <c r="L53" s="26"/>
      <c r="M53" s="31" t="str">
        <f>IF(OR('Summary Op Stmt (Operators)'!$L$20=0,'Summary Op Stmt (Operators)'!$L$20=""),"",L53/'Summary Op Stmt (Operators)'!$L$20)</f>
        <v/>
      </c>
    </row>
    <row r="54" spans="1:13" x14ac:dyDescent="0.2">
      <c r="A54" s="25" t="s">
        <v>362</v>
      </c>
      <c r="B54" s="26"/>
      <c r="C54" s="31" t="str">
        <f>IF(OR('Summary Op Stmt (Operators)'!$B$20=0,'Summary Op Stmt (Operators)'!$B$20=""),"",B54/'Summary Op Stmt (Operators)'!$B$20)</f>
        <v/>
      </c>
      <c r="D54" s="26"/>
      <c r="E54" s="31" t="str">
        <f>IF(OR('Summary Op Stmt (Operators)'!$D$20=0,'Summary Op Stmt (Operators)'!$D$20=""),"",D54/'Summary Op Stmt (Operators)'!$D$20)</f>
        <v/>
      </c>
      <c r="F54" s="26"/>
      <c r="G54" s="31" t="str">
        <f>IF(OR('Summary Op Stmt (Operators)'!$F$20=0,'Summary Op Stmt (Operators)'!$F$20=""),"",F54/'Summary Op Stmt (Operators)'!$F$20)</f>
        <v/>
      </c>
      <c r="H54" s="26"/>
      <c r="I54" s="31" t="str">
        <f>IF(OR('Summary Op Stmt (Operators)'!$H$20=0,'Summary Op Stmt (Operators)'!$H$20=""),"",H54/'Summary Op Stmt (Operators)'!$H$20)</f>
        <v/>
      </c>
      <c r="J54" s="26"/>
      <c r="K54" s="31" t="str">
        <f>IF(OR('Summary Op Stmt (Operators)'!$J$20=0,'Summary Op Stmt (Operators)'!$J$20=""),"",J54/'Summary Op Stmt (Operators)'!$J$20)</f>
        <v/>
      </c>
      <c r="L54" s="26"/>
      <c r="M54" s="31" t="str">
        <f>IF(OR('Summary Op Stmt (Operators)'!$L$20=0,'Summary Op Stmt (Operators)'!$L$20=""),"",L54/'Summary Op Stmt (Operators)'!$L$20)</f>
        <v/>
      </c>
    </row>
    <row r="55" spans="1:13" x14ac:dyDescent="0.2">
      <c r="A55" s="25" t="s">
        <v>363</v>
      </c>
      <c r="B55" s="26"/>
      <c r="C55" s="31" t="str">
        <f>IF(OR('Summary Op Stmt (Operators)'!$B$20=0,'Summary Op Stmt (Operators)'!$B$20=""),"",B55/'Summary Op Stmt (Operators)'!$B$20)</f>
        <v/>
      </c>
      <c r="D55" s="26"/>
      <c r="E55" s="31" t="str">
        <f>IF(OR('Summary Op Stmt (Operators)'!$D$20=0,'Summary Op Stmt (Operators)'!$D$20=""),"",D55/'Summary Op Stmt (Operators)'!$D$20)</f>
        <v/>
      </c>
      <c r="F55" s="26"/>
      <c r="G55" s="31" t="str">
        <f>IF(OR('Summary Op Stmt (Operators)'!$F$20=0,'Summary Op Stmt (Operators)'!$F$20=""),"",F55/'Summary Op Stmt (Operators)'!$F$20)</f>
        <v/>
      </c>
      <c r="H55" s="26"/>
      <c r="I55" s="31" t="str">
        <f>IF(OR('Summary Op Stmt (Operators)'!$H$20=0,'Summary Op Stmt (Operators)'!$H$20=""),"",H55/'Summary Op Stmt (Operators)'!$H$20)</f>
        <v/>
      </c>
      <c r="J55" s="26"/>
      <c r="K55" s="31" t="str">
        <f>IF(OR('Summary Op Stmt (Operators)'!$J$20=0,'Summary Op Stmt (Operators)'!$J$20=""),"",J55/'Summary Op Stmt (Operators)'!$J$20)</f>
        <v/>
      </c>
      <c r="L55" s="26"/>
      <c r="M55" s="31" t="str">
        <f>IF(OR('Summary Op Stmt (Operators)'!$L$20=0,'Summary Op Stmt (Operators)'!$L$20=""),"",L55/'Summary Op Stmt (Operators)'!$L$20)</f>
        <v/>
      </c>
    </row>
    <row r="56" spans="1:13" x14ac:dyDescent="0.2">
      <c r="A56" s="25" t="s">
        <v>364</v>
      </c>
      <c r="B56" s="26"/>
      <c r="C56" s="31" t="str">
        <f>IF(OR('Summary Op Stmt (Operators)'!$B$20=0,'Summary Op Stmt (Operators)'!$B$20=""),"",B56/'Summary Op Stmt (Operators)'!$B$20)</f>
        <v/>
      </c>
      <c r="D56" s="26"/>
      <c r="E56" s="31" t="str">
        <f>IF(OR('Summary Op Stmt (Operators)'!$D$20=0,'Summary Op Stmt (Operators)'!$D$20=""),"",D56/'Summary Op Stmt (Operators)'!$D$20)</f>
        <v/>
      </c>
      <c r="F56" s="26"/>
      <c r="G56" s="31" t="str">
        <f>IF(OR('Summary Op Stmt (Operators)'!$F$20=0,'Summary Op Stmt (Operators)'!$F$20=""),"",F56/'Summary Op Stmt (Operators)'!$F$20)</f>
        <v/>
      </c>
      <c r="H56" s="26"/>
      <c r="I56" s="31" t="str">
        <f>IF(OR('Summary Op Stmt (Operators)'!$H$20=0,'Summary Op Stmt (Operators)'!$H$20=""),"",H56/'Summary Op Stmt (Operators)'!$H$20)</f>
        <v/>
      </c>
      <c r="J56" s="26"/>
      <c r="K56" s="31" t="str">
        <f>IF(OR('Summary Op Stmt (Operators)'!$J$20=0,'Summary Op Stmt (Operators)'!$J$20=""),"",J56/'Summary Op Stmt (Operators)'!$J$20)</f>
        <v/>
      </c>
      <c r="L56" s="26"/>
      <c r="M56" s="31" t="str">
        <f>IF(OR('Summary Op Stmt (Operators)'!$L$20=0,'Summary Op Stmt (Operators)'!$L$20=""),"",L56/'Summary Op Stmt (Operators)'!$L$20)</f>
        <v/>
      </c>
    </row>
    <row r="57" spans="1:13" x14ac:dyDescent="0.2">
      <c r="A57" s="25" t="s">
        <v>365</v>
      </c>
      <c r="B57" s="26"/>
      <c r="C57" s="31" t="str">
        <f>IF(OR('Summary Op Stmt (Operators)'!$B$20=0,'Summary Op Stmt (Operators)'!$B$20=""),"",B57/'Summary Op Stmt (Operators)'!$B$20)</f>
        <v/>
      </c>
      <c r="D57" s="26"/>
      <c r="E57" s="31" t="str">
        <f>IF(OR('Summary Op Stmt (Operators)'!$D$20=0,'Summary Op Stmt (Operators)'!$D$20=""),"",D57/'Summary Op Stmt (Operators)'!$D$20)</f>
        <v/>
      </c>
      <c r="F57" s="26"/>
      <c r="G57" s="31" t="str">
        <f>IF(OR('Summary Op Stmt (Operators)'!$F$20=0,'Summary Op Stmt (Operators)'!$F$20=""),"",F57/'Summary Op Stmt (Operators)'!$F$20)</f>
        <v/>
      </c>
      <c r="H57" s="26"/>
      <c r="I57" s="31" t="str">
        <f>IF(OR('Summary Op Stmt (Operators)'!$H$20=0,'Summary Op Stmt (Operators)'!$H$20=""),"",H57/'Summary Op Stmt (Operators)'!$H$20)</f>
        <v/>
      </c>
      <c r="J57" s="26"/>
      <c r="K57" s="31" t="str">
        <f>IF(OR('Summary Op Stmt (Operators)'!$J$20=0,'Summary Op Stmt (Operators)'!$J$20=""),"",J57/'Summary Op Stmt (Operators)'!$J$20)</f>
        <v/>
      </c>
      <c r="L57" s="26"/>
      <c r="M57" s="31" t="str">
        <f>IF(OR('Summary Op Stmt (Operators)'!$L$20=0,'Summary Op Stmt (Operators)'!$L$20=""),"",L57/'Summary Op Stmt (Operators)'!$L$20)</f>
        <v/>
      </c>
    </row>
    <row r="58" spans="1:13" x14ac:dyDescent="0.2">
      <c r="A58" s="25" t="s">
        <v>366</v>
      </c>
      <c r="B58" s="26"/>
      <c r="C58" s="31" t="str">
        <f>IF(OR('Summary Op Stmt (Operators)'!$B$20=0,'Summary Op Stmt (Operators)'!$B$20=""),"",B58/'Summary Op Stmt (Operators)'!$B$20)</f>
        <v/>
      </c>
      <c r="D58" s="26"/>
      <c r="E58" s="31" t="str">
        <f>IF(OR('Summary Op Stmt (Operators)'!$D$20=0,'Summary Op Stmt (Operators)'!$D$20=""),"",D58/'Summary Op Stmt (Operators)'!$D$20)</f>
        <v/>
      </c>
      <c r="F58" s="26"/>
      <c r="G58" s="31" t="str">
        <f>IF(OR('Summary Op Stmt (Operators)'!$F$20=0,'Summary Op Stmt (Operators)'!$F$20=""),"",F58/'Summary Op Stmt (Operators)'!$F$20)</f>
        <v/>
      </c>
      <c r="H58" s="26"/>
      <c r="I58" s="31" t="str">
        <f>IF(OR('Summary Op Stmt (Operators)'!$H$20=0,'Summary Op Stmt (Operators)'!$H$20=""),"",H58/'Summary Op Stmt (Operators)'!$H$20)</f>
        <v/>
      </c>
      <c r="J58" s="26"/>
      <c r="K58" s="31" t="str">
        <f>IF(OR('Summary Op Stmt (Operators)'!$J$20=0,'Summary Op Stmt (Operators)'!$J$20=""),"",J58/'Summary Op Stmt (Operators)'!$J$20)</f>
        <v/>
      </c>
      <c r="L58" s="26"/>
      <c r="M58" s="31" t="str">
        <f>IF(OR('Summary Op Stmt (Operators)'!$L$20=0,'Summary Op Stmt (Operators)'!$L$20=""),"",L58/'Summary Op Stmt (Operators)'!$L$20)</f>
        <v/>
      </c>
    </row>
    <row r="59" spans="1:13" x14ac:dyDescent="0.2">
      <c r="A59" s="25" t="s">
        <v>197</v>
      </c>
      <c r="B59" s="26"/>
      <c r="C59" s="31" t="str">
        <f>IF(OR('Summary Op Stmt (Operators)'!$B$20=0,'Summary Op Stmt (Operators)'!$B$20=""),"",B59/'Summary Op Stmt (Operators)'!$B$20)</f>
        <v/>
      </c>
      <c r="D59" s="26"/>
      <c r="E59" s="31" t="str">
        <f>IF(OR('Summary Op Stmt (Operators)'!$D$20=0,'Summary Op Stmt (Operators)'!$D$20=""),"",D59/'Summary Op Stmt (Operators)'!$D$20)</f>
        <v/>
      </c>
      <c r="F59" s="26"/>
      <c r="G59" s="31" t="str">
        <f>IF(OR('Summary Op Stmt (Operators)'!$F$20=0,'Summary Op Stmt (Operators)'!$F$20=""),"",F59/'Summary Op Stmt (Operators)'!$F$20)</f>
        <v/>
      </c>
      <c r="H59" s="26"/>
      <c r="I59" s="31" t="str">
        <f>IF(OR('Summary Op Stmt (Operators)'!$H$20=0,'Summary Op Stmt (Operators)'!$H$20=""),"",H59/'Summary Op Stmt (Operators)'!$H$20)</f>
        <v/>
      </c>
      <c r="J59" s="26"/>
      <c r="K59" s="31" t="str">
        <f>IF(OR('Summary Op Stmt (Operators)'!$J$20=0,'Summary Op Stmt (Operators)'!$J$20=""),"",J59/'Summary Op Stmt (Operators)'!$J$20)</f>
        <v/>
      </c>
      <c r="L59" s="26"/>
      <c r="M59" s="31" t="str">
        <f>IF(OR('Summary Op Stmt (Operators)'!$L$20=0,'Summary Op Stmt (Operators)'!$L$20=""),"",L59/'Summary Op Stmt (Operators)'!$L$20)</f>
        <v/>
      </c>
    </row>
    <row r="60" spans="1:13" x14ac:dyDescent="0.2">
      <c r="A60" s="25" t="s">
        <v>198</v>
      </c>
      <c r="B60" s="26"/>
      <c r="C60" s="31" t="str">
        <f>IF(OR('Summary Op Stmt (Operators)'!$B$20=0,'Summary Op Stmt (Operators)'!$B$20=""),"",B60/'Summary Op Stmt (Operators)'!$B$20)</f>
        <v/>
      </c>
      <c r="D60" s="26"/>
      <c r="E60" s="31" t="str">
        <f>IF(OR('Summary Op Stmt (Operators)'!$D$20=0,'Summary Op Stmt (Operators)'!$D$20=""),"",D60/'Summary Op Stmt (Operators)'!$D$20)</f>
        <v/>
      </c>
      <c r="F60" s="26"/>
      <c r="G60" s="31" t="str">
        <f>IF(OR('Summary Op Stmt (Operators)'!$F$20=0,'Summary Op Stmt (Operators)'!$F$20=""),"",F60/'Summary Op Stmt (Operators)'!$F$20)</f>
        <v/>
      </c>
      <c r="H60" s="26"/>
      <c r="I60" s="31" t="str">
        <f>IF(OR('Summary Op Stmt (Operators)'!$H$20=0,'Summary Op Stmt (Operators)'!$H$20=""),"",H60/'Summary Op Stmt (Operators)'!$H$20)</f>
        <v/>
      </c>
      <c r="J60" s="26"/>
      <c r="K60" s="31" t="str">
        <f>IF(OR('Summary Op Stmt (Operators)'!$J$20=0,'Summary Op Stmt (Operators)'!$J$20=""),"",J60/'Summary Op Stmt (Operators)'!$J$20)</f>
        <v/>
      </c>
      <c r="L60" s="26"/>
      <c r="M60" s="31" t="str">
        <f>IF(OR('Summary Op Stmt (Operators)'!$L$20=0,'Summary Op Stmt (Operators)'!$L$20=""),"",L60/'Summary Op Stmt (Operators)'!$L$20)</f>
        <v/>
      </c>
    </row>
    <row r="61" spans="1:13" x14ac:dyDescent="0.2">
      <c r="A61" s="25" t="s">
        <v>199</v>
      </c>
      <c r="B61" s="26"/>
      <c r="C61" s="31" t="str">
        <f>IF(OR('Summary Op Stmt (Operators)'!$B$20=0,'Summary Op Stmt (Operators)'!$B$20=""),"",B61/'Summary Op Stmt (Operators)'!$B$20)</f>
        <v/>
      </c>
      <c r="D61" s="26"/>
      <c r="E61" s="31" t="str">
        <f>IF(OR('Summary Op Stmt (Operators)'!$D$20=0,'Summary Op Stmt (Operators)'!$D$20=""),"",D61/'Summary Op Stmt (Operators)'!$D$20)</f>
        <v/>
      </c>
      <c r="F61" s="26"/>
      <c r="G61" s="31" t="str">
        <f>IF(OR('Summary Op Stmt (Operators)'!$F$20=0,'Summary Op Stmt (Operators)'!$F$20=""),"",F61/'Summary Op Stmt (Operators)'!$F$20)</f>
        <v/>
      </c>
      <c r="H61" s="26"/>
      <c r="I61" s="31" t="str">
        <f>IF(OR('Summary Op Stmt (Operators)'!$H$20=0,'Summary Op Stmt (Operators)'!$H$20=""),"",H61/'Summary Op Stmt (Operators)'!$H$20)</f>
        <v/>
      </c>
      <c r="J61" s="26"/>
      <c r="K61" s="31" t="str">
        <f>IF(OR('Summary Op Stmt (Operators)'!$J$20=0,'Summary Op Stmt (Operators)'!$J$20=""),"",J61/'Summary Op Stmt (Operators)'!$J$20)</f>
        <v/>
      </c>
      <c r="L61" s="26"/>
      <c r="M61" s="31" t="str">
        <f>IF(OR('Summary Op Stmt (Operators)'!$L$20=0,'Summary Op Stmt (Operators)'!$L$20=""),"",L61/'Summary Op Stmt (Operators)'!$L$20)</f>
        <v/>
      </c>
    </row>
    <row r="62" spans="1:13" x14ac:dyDescent="0.2">
      <c r="A62" s="25" t="s">
        <v>200</v>
      </c>
      <c r="B62" s="26"/>
      <c r="C62" s="31" t="str">
        <f>IF(OR('Summary Op Stmt (Operators)'!$B$20=0,'Summary Op Stmt (Operators)'!$B$20=""),"",B62/'Summary Op Stmt (Operators)'!$B$20)</f>
        <v/>
      </c>
      <c r="D62" s="26"/>
      <c r="E62" s="31" t="str">
        <f>IF(OR('Summary Op Stmt (Operators)'!$D$20=0,'Summary Op Stmt (Operators)'!$D$20=""),"",D62/'Summary Op Stmt (Operators)'!$D$20)</f>
        <v/>
      </c>
      <c r="F62" s="26"/>
      <c r="G62" s="31" t="str">
        <f>IF(OR('Summary Op Stmt (Operators)'!$F$20=0,'Summary Op Stmt (Operators)'!$F$20=""),"",F62/'Summary Op Stmt (Operators)'!$F$20)</f>
        <v/>
      </c>
      <c r="H62" s="26"/>
      <c r="I62" s="31" t="str">
        <f>IF(OR('Summary Op Stmt (Operators)'!$H$20=0,'Summary Op Stmt (Operators)'!$H$20=""),"",H62/'Summary Op Stmt (Operators)'!$H$20)</f>
        <v/>
      </c>
      <c r="J62" s="26"/>
      <c r="K62" s="31" t="str">
        <f>IF(OR('Summary Op Stmt (Operators)'!$J$20=0,'Summary Op Stmt (Operators)'!$J$20=""),"",J62/'Summary Op Stmt (Operators)'!$J$20)</f>
        <v/>
      </c>
      <c r="L62" s="26"/>
      <c r="M62" s="31" t="str">
        <f>IF(OR('Summary Op Stmt (Operators)'!$L$20=0,'Summary Op Stmt (Operators)'!$L$20=""),"",L62/'Summary Op Stmt (Operators)'!$L$20)</f>
        <v/>
      </c>
    </row>
    <row r="63" spans="1:13" x14ac:dyDescent="0.2">
      <c r="A63" s="25" t="s">
        <v>201</v>
      </c>
      <c r="B63" s="26"/>
      <c r="C63" s="31" t="str">
        <f>IF(OR('Summary Op Stmt (Operators)'!$B$20=0,'Summary Op Stmt (Operators)'!$B$20=""),"",B63/'Summary Op Stmt (Operators)'!$B$20)</f>
        <v/>
      </c>
      <c r="D63" s="26"/>
      <c r="E63" s="31" t="str">
        <f>IF(OR('Summary Op Stmt (Operators)'!$D$20=0,'Summary Op Stmt (Operators)'!$D$20=""),"",D63/'Summary Op Stmt (Operators)'!$D$20)</f>
        <v/>
      </c>
      <c r="F63" s="26"/>
      <c r="G63" s="31" t="str">
        <f>IF(OR('Summary Op Stmt (Operators)'!$F$20=0,'Summary Op Stmt (Operators)'!$F$20=""),"",F63/'Summary Op Stmt (Operators)'!$F$20)</f>
        <v/>
      </c>
      <c r="H63" s="26"/>
      <c r="I63" s="31" t="str">
        <f>IF(OR('Summary Op Stmt (Operators)'!$H$20=0,'Summary Op Stmt (Operators)'!$H$20=""),"",H63/'Summary Op Stmt (Operators)'!$H$20)</f>
        <v/>
      </c>
      <c r="J63" s="26"/>
      <c r="K63" s="31" t="str">
        <f>IF(OR('Summary Op Stmt (Operators)'!$J$20=0,'Summary Op Stmt (Operators)'!$J$20=""),"",J63/'Summary Op Stmt (Operators)'!$J$20)</f>
        <v/>
      </c>
      <c r="L63" s="26"/>
      <c r="M63" s="31" t="str">
        <f>IF(OR('Summary Op Stmt (Operators)'!$L$20=0,'Summary Op Stmt (Operators)'!$L$20=""),"",L63/'Summary Op Stmt (Operators)'!$L$20)</f>
        <v/>
      </c>
    </row>
    <row r="64" spans="1:13" x14ac:dyDescent="0.2">
      <c r="A64" s="35" t="s">
        <v>202</v>
      </c>
      <c r="B64" s="36">
        <f>B30+B31+B32+B33+B34+B35+B36+B37+B38+B39+B40+B41+B42+B43+B44+B45+B46+B47+B48+B49+B50+B51+B52+B53+B54+B55+B56+B57+B58+B59+B60+B61+B62+B63</f>
        <v>0</v>
      </c>
      <c r="C64" s="37" t="str">
        <f>IF(OR('Summary Op Stmt (Operators)'!$B$20=0,'Summary Op Stmt (Operators)'!$B$20=""),"",B64/'Summary Op Stmt (Operators)'!$B$20)</f>
        <v/>
      </c>
      <c r="D64" s="36">
        <f>D30+D31+D32+D33+D34+D35+D36+D37+D38+D39+D40+D41+D42+D43+D44+D45+D46+D47+D48+D49+D50+D51+D52+D53+D54+D55+D56+D57+D58+D59+D60+D61+D62+D63</f>
        <v>0</v>
      </c>
      <c r="E64" s="37" t="str">
        <f>IF(OR('Summary Op Stmt (Operators)'!$D$20=0,'Summary Op Stmt (Operators)'!$D$20=""),"",D64/'Summary Op Stmt (Operators)'!$D$20)</f>
        <v/>
      </c>
      <c r="F64" s="36">
        <f>F30+F31+F32+F33+F34+F35+F36+F37+F38+F39+F40+F41+F42+F43+F44+F45+F46+F47+F48+F49+F50+F51+F52+F53+F54+F55+F56+F57+F58+F59+F60+F61+F62+F63</f>
        <v>0</v>
      </c>
      <c r="G64" s="37" t="str">
        <f>IF(OR('Summary Op Stmt (Operators)'!$F$20=0,'Summary Op Stmt (Operators)'!$F$20=""),"",F64/'Summary Op Stmt (Operators)'!$F$20)</f>
        <v/>
      </c>
      <c r="H64" s="36">
        <f>H30+H31+H32+H33+H34+H35+H36+H37+H38+H39+H40+H41+H42+H43+H44+H45+H46+H47+H48+H49+H50+H51+H52+H53+H54+H55+H56+H57+H58+H59+H60+H61+H62+H63</f>
        <v>0</v>
      </c>
      <c r="I64" s="37" t="str">
        <f>IF(OR('Summary Op Stmt (Operators)'!$H$20=0,'Summary Op Stmt (Operators)'!$H$20=""),"",H64/'Summary Op Stmt (Operators)'!$H$20)</f>
        <v/>
      </c>
      <c r="J64" s="36">
        <f>J30+J31+J32+J33+J34+J35+J36+J37+J38+J39+J40+J41+J42+J43+J44+J45+J46+J47+J48+J49+J50+J51+J52+J53+J54+J55+J56+J57+J58+J59+J60+J61+J62+J63</f>
        <v>0</v>
      </c>
      <c r="K64" s="37" t="str">
        <f>IF(OR('Summary Op Stmt (Operators)'!$J$20=0,'Summary Op Stmt (Operators)'!$J$20=""),"",J64/'Summary Op Stmt (Operators)'!$J$20)</f>
        <v/>
      </c>
      <c r="L64" s="36">
        <f>L30+L31+L32+L33+L34+L35+L36+L37+L38+L39+L40+L41+L42+L43+L44+L45+L46+L47+L48+L49+L50+L51+L52+L53+L54+L55+L56+L57+L58+L59+L60+L61+L62+L63</f>
        <v>0</v>
      </c>
      <c r="M64" s="37" t="str">
        <f>IF(OR('Summary Op Stmt (Operators)'!$L$20=0,'Summary Op Stmt (Operators)'!$L$20=""),"",L64/'Summary Op Stmt (Operators)'!$L$20)</f>
        <v/>
      </c>
    </row>
    <row r="65" spans="1:13" x14ac:dyDescent="0.2">
      <c r="A65" s="38" t="s">
        <v>203</v>
      </c>
      <c r="B65" s="39">
        <f>B28+B64</f>
        <v>0</v>
      </c>
      <c r="C65" s="40" t="str">
        <f>IF(OR('Summary Op Stmt (Operators)'!$B$20=0,'Summary Op Stmt (Operators)'!$B$20=""),"",B65/'Summary Op Stmt (Operators)'!$B$20)</f>
        <v/>
      </c>
      <c r="D65" s="39">
        <f>D28+D64</f>
        <v>0</v>
      </c>
      <c r="E65" s="40" t="str">
        <f>IF(OR('Summary Op Stmt (Operators)'!$D$20=0,'Summary Op Stmt (Operators)'!$D$20=""),"",D65/'Summary Op Stmt (Operators)'!$D$20)</f>
        <v/>
      </c>
      <c r="F65" s="39">
        <f>F28+F64</f>
        <v>0</v>
      </c>
      <c r="G65" s="40" t="str">
        <f>IF(OR('Summary Op Stmt (Operators)'!$F$20=0,'Summary Op Stmt (Operators)'!$F$20=""),"",F65/'Summary Op Stmt (Operators)'!$F$20)</f>
        <v/>
      </c>
      <c r="H65" s="39">
        <f>H28+H64</f>
        <v>0</v>
      </c>
      <c r="I65" s="40" t="str">
        <f>IF(OR('Summary Op Stmt (Operators)'!$H$20=0,'Summary Op Stmt (Operators)'!$H$20=""),"",H65/'Summary Op Stmt (Operators)'!$H$20)</f>
        <v/>
      </c>
      <c r="J65" s="39">
        <f>J28+J64</f>
        <v>0</v>
      </c>
      <c r="K65" s="40" t="str">
        <f>IF(OR('Summary Op Stmt (Operators)'!$J$20=0,'Summary Op Stmt (Operators)'!$J$20=""),"",J65/'Summary Op Stmt (Operators)'!$J$20)</f>
        <v/>
      </c>
      <c r="L65" s="39">
        <f>L28+L64</f>
        <v>0</v>
      </c>
      <c r="M65" s="40" t="str">
        <f>IF(OR('Summary Op Stmt (Operators)'!$L$20=0,'Summary Op Stmt (Operators)'!$L$20=""),"",L65/'Summary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3864"/>
  </sheetPr>
  <dimension ref="A1:M68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148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3" t="s">
        <v>149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">
      <c r="A9" s="23" t="s">
        <v>150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">
      <c r="A10" s="23" t="s">
        <v>151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">
      <c r="A11" s="25" t="s">
        <v>152</v>
      </c>
      <c r="B11" s="26"/>
      <c r="D11" s="26"/>
      <c r="F11" s="26"/>
      <c r="H11" s="26"/>
      <c r="J11" s="26"/>
      <c r="L11" s="26"/>
    </row>
    <row r="12" spans="1:13" x14ac:dyDescent="0.2">
      <c r="A12" s="23" t="s">
        <v>153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x14ac:dyDescent="0.2">
      <c r="A13" s="25" t="s">
        <v>368</v>
      </c>
      <c r="B13" s="26"/>
      <c r="D13" s="26"/>
      <c r="F13" s="26"/>
      <c r="H13" s="26"/>
      <c r="J13" s="26"/>
      <c r="L13" s="26"/>
    </row>
    <row r="14" spans="1:13" x14ac:dyDescent="0.2">
      <c r="A14" s="25" t="s">
        <v>369</v>
      </c>
      <c r="B14" s="26"/>
      <c r="D14" s="26"/>
      <c r="F14" s="26"/>
      <c r="H14" s="26"/>
      <c r="J14" s="26"/>
      <c r="L14" s="26"/>
    </row>
    <row r="15" spans="1:13" x14ac:dyDescent="0.2">
      <c r="A15" s="35" t="s">
        <v>160</v>
      </c>
      <c r="B15" s="36">
        <f>B11+B13+B14</f>
        <v>0</v>
      </c>
      <c r="C15" s="41"/>
      <c r="D15" s="36">
        <f>D11+D13+D14</f>
        <v>0</v>
      </c>
      <c r="E15" s="41"/>
      <c r="F15" s="36">
        <f>F11+F13+F14</f>
        <v>0</v>
      </c>
      <c r="G15" s="41"/>
      <c r="H15" s="36">
        <f>H11+H13+H14</f>
        <v>0</v>
      </c>
      <c r="I15" s="41"/>
      <c r="J15" s="36">
        <f>J11+J13+J14</f>
        <v>0</v>
      </c>
      <c r="K15" s="41"/>
      <c r="L15" s="36">
        <f>L11+L13+L14</f>
        <v>0</v>
      </c>
      <c r="M15" s="41"/>
    </row>
    <row r="16" spans="1:13" x14ac:dyDescent="0.2">
      <c r="A16" s="25" t="s">
        <v>161</v>
      </c>
      <c r="B16" s="26"/>
      <c r="D16" s="26"/>
      <c r="F16" s="26"/>
      <c r="H16" s="26"/>
      <c r="J16" s="26"/>
      <c r="L16" s="26"/>
    </row>
    <row r="17" spans="1:13" x14ac:dyDescent="0.2">
      <c r="A17" s="25" t="s">
        <v>162</v>
      </c>
      <c r="B17" s="26"/>
      <c r="D17" s="26"/>
      <c r="F17" s="26"/>
      <c r="H17" s="26"/>
      <c r="J17" s="26"/>
      <c r="L17" s="26"/>
    </row>
    <row r="18" spans="1:13" x14ac:dyDescent="0.2">
      <c r="A18" s="25" t="s">
        <v>163</v>
      </c>
      <c r="B18" s="26"/>
      <c r="D18" s="26"/>
      <c r="F18" s="26"/>
      <c r="H18" s="26"/>
      <c r="J18" s="26"/>
      <c r="L18" s="26"/>
    </row>
    <row r="19" spans="1:13" x14ac:dyDescent="0.2">
      <c r="A19" s="35" t="s">
        <v>164</v>
      </c>
      <c r="B19" s="36">
        <f>B15+B16+B17+B18</f>
        <v>0</v>
      </c>
      <c r="C19" s="37" t="str">
        <f>IF(OR('Summary Op Stmt (Operators)'!$B$20=0,'Summary Op Stmt (Operators)'!$B$20=""),"",B19/'Summary Op Stmt (Operators)'!$B$20)</f>
        <v/>
      </c>
      <c r="D19" s="36">
        <f>D15+D16+D17+D18</f>
        <v>0</v>
      </c>
      <c r="E19" s="37" t="str">
        <f>IF(OR('Summary Op Stmt (Operators)'!$D$20=0,'Summary Op Stmt (Operators)'!$D$20=""),"",D19/'Summary Op Stmt (Operators)'!$D$20)</f>
        <v/>
      </c>
      <c r="F19" s="36">
        <f>F15+F16+F17+F18</f>
        <v>0</v>
      </c>
      <c r="G19" s="37" t="str">
        <f>IF(OR('Summary Op Stmt (Operators)'!$F$20=0,'Summary Op Stmt (Operators)'!$F$20=""),"",F19/'Summary Op Stmt (Operators)'!$F$20)</f>
        <v/>
      </c>
      <c r="H19" s="36">
        <f>H15+H16+H17+H18</f>
        <v>0</v>
      </c>
      <c r="I19" s="37" t="str">
        <f>IF(OR('Summary Op Stmt (Operators)'!$H$20=0,'Summary Op Stmt (Operators)'!$H$20=""),"",H19/'Summary Op Stmt (Operators)'!$H$20)</f>
        <v/>
      </c>
      <c r="J19" s="36">
        <f>J15+J16+J17+J18</f>
        <v>0</v>
      </c>
      <c r="K19" s="37" t="str">
        <f>IF(OR('Summary Op Stmt (Operators)'!$J$20=0,'Summary Op Stmt (Operators)'!$J$20=""),"",J19/'Summary Op Stmt (Operators)'!$J$20)</f>
        <v/>
      </c>
      <c r="L19" s="36">
        <f>L15+L16+L17+L18</f>
        <v>0</v>
      </c>
      <c r="M19" s="37" t="str">
        <f>IF(OR('Summary Op Stmt (Operators)'!$L$20=0,'Summary Op Stmt (Operators)'!$L$20=""),"",L19/'Summary Op Stmt (Operators)'!$L$20)</f>
        <v/>
      </c>
    </row>
    <row r="20" spans="1:13" x14ac:dyDescent="0.2">
      <c r="A20" s="23" t="s">
        <v>165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2">
      <c r="A21" s="25" t="s">
        <v>166</v>
      </c>
      <c r="B21" s="26"/>
      <c r="C21" s="31" t="str">
        <f>IF(OR('Summary Op Stmt (Operators)'!$B$20=0,'Summary Op Stmt (Operators)'!$B$20=""),"",B21/'Summary Op Stmt (Operators)'!$B$20)</f>
        <v/>
      </c>
      <c r="D21" s="26"/>
      <c r="E21" s="31" t="str">
        <f>IF(OR('Summary Op Stmt (Operators)'!$D$20=0,'Summary Op Stmt (Operators)'!$D$20=""),"",D21/'Summary Op Stmt (Operators)'!$D$20)</f>
        <v/>
      </c>
      <c r="F21" s="26"/>
      <c r="G21" s="31" t="str">
        <f>IF(OR('Summary Op Stmt (Operators)'!$F$20=0,'Summary Op Stmt (Operators)'!$F$20=""),"",F21/'Summary Op Stmt (Operators)'!$F$20)</f>
        <v/>
      </c>
      <c r="H21" s="26"/>
      <c r="I21" s="31" t="str">
        <f>IF(OR('Summary Op Stmt (Operators)'!$H$20=0,'Summary Op Stmt (Operators)'!$H$20=""),"",H21/'Summary Op Stmt (Operators)'!$H$20)</f>
        <v/>
      </c>
      <c r="J21" s="26"/>
      <c r="K21" s="31" t="str">
        <f>IF(OR('Summary Op Stmt (Operators)'!$J$20=0,'Summary Op Stmt (Operators)'!$J$20=""),"",J21/'Summary Op Stmt (Operators)'!$J$20)</f>
        <v/>
      </c>
      <c r="L21" s="26"/>
      <c r="M21" s="31" t="str">
        <f>IF(OR('Summary Op Stmt (Operators)'!$L$20=0,'Summary Op Stmt (Operators)'!$L$20=""),"",L21/'Summary Op Stmt (Operators)'!$L$20)</f>
        <v/>
      </c>
    </row>
    <row r="22" spans="1:13" x14ac:dyDescent="0.2">
      <c r="A22" s="25" t="s">
        <v>167</v>
      </c>
      <c r="B22" s="26"/>
      <c r="C22" s="31" t="str">
        <f>IF(OR('Summary Op Stmt (Operators)'!$B$20=0,'Summary Op Stmt (Operators)'!$B$20=""),"",B22/'Summary Op Stmt (Operators)'!$B$20)</f>
        <v/>
      </c>
      <c r="D22" s="26"/>
      <c r="E22" s="31" t="str">
        <f>IF(OR('Summary Op Stmt (Operators)'!$D$20=0,'Summary Op Stmt (Operators)'!$D$20=""),"",D22/'Summary Op Stmt (Operators)'!$D$20)</f>
        <v/>
      </c>
      <c r="F22" s="26"/>
      <c r="G22" s="31" t="str">
        <f>IF(OR('Summary Op Stmt (Operators)'!$F$20=0,'Summary Op Stmt (Operators)'!$F$20=""),"",F22/'Summary Op Stmt (Operators)'!$F$20)</f>
        <v/>
      </c>
      <c r="H22" s="26"/>
      <c r="I22" s="31" t="str">
        <f>IF(OR('Summary Op Stmt (Operators)'!$H$20=0,'Summary Op Stmt (Operators)'!$H$20=""),"",H22/'Summary Op Stmt (Operators)'!$H$20)</f>
        <v/>
      </c>
      <c r="J22" s="26"/>
      <c r="K22" s="31" t="str">
        <f>IF(OR('Summary Op Stmt (Operators)'!$J$20=0,'Summary Op Stmt (Operators)'!$J$20=""),"",J22/'Summary Op Stmt (Operators)'!$J$20)</f>
        <v/>
      </c>
      <c r="L22" s="26"/>
      <c r="M22" s="31" t="str">
        <f>IF(OR('Summary Op Stmt (Operators)'!$L$20=0,'Summary Op Stmt (Operators)'!$L$20=""),"",L22/'Summary Op Stmt (Operators)'!$L$20)</f>
        <v/>
      </c>
    </row>
    <row r="23" spans="1:13" x14ac:dyDescent="0.2">
      <c r="A23" s="25" t="s">
        <v>168</v>
      </c>
      <c r="B23" s="26"/>
      <c r="C23" s="31" t="str">
        <f>IF(OR('Summary Op Stmt (Operators)'!$B$20=0,'Summary Op Stmt (Operators)'!$B$20=""),"",B23/'Summary Op Stmt (Operators)'!$B$20)</f>
        <v/>
      </c>
      <c r="D23" s="26"/>
      <c r="E23" s="31" t="str">
        <f>IF(OR('Summary Op Stmt (Operators)'!$D$20=0,'Summary Op Stmt (Operators)'!$D$20=""),"",D23/'Summary Op Stmt (Operators)'!$D$20)</f>
        <v/>
      </c>
      <c r="F23" s="26"/>
      <c r="G23" s="31" t="str">
        <f>IF(OR('Summary Op Stmt (Operators)'!$F$20=0,'Summary Op Stmt (Operators)'!$F$20=""),"",F23/'Summary Op Stmt (Operators)'!$F$20)</f>
        <v/>
      </c>
      <c r="H23" s="26"/>
      <c r="I23" s="31" t="str">
        <f>IF(OR('Summary Op Stmt (Operators)'!$H$20=0,'Summary Op Stmt (Operators)'!$H$20=""),"",H23/'Summary Op Stmt (Operators)'!$H$20)</f>
        <v/>
      </c>
      <c r="J23" s="26"/>
      <c r="K23" s="31" t="str">
        <f>IF(OR('Summary Op Stmt (Operators)'!$J$20=0,'Summary Op Stmt (Operators)'!$J$20=""),"",J23/'Summary Op Stmt (Operators)'!$J$20)</f>
        <v/>
      </c>
      <c r="L23" s="26"/>
      <c r="M23" s="31" t="str">
        <f>IF(OR('Summary Op Stmt (Operators)'!$L$20=0,'Summary Op Stmt (Operators)'!$L$20=""),"",L23/'Summary Op Stmt (Operators)'!$L$20)</f>
        <v/>
      </c>
    </row>
    <row r="24" spans="1:13" x14ac:dyDescent="0.2">
      <c r="A24" s="35" t="s">
        <v>169</v>
      </c>
      <c r="B24" s="36">
        <f>B21+B22+B23</f>
        <v>0</v>
      </c>
      <c r="C24" s="37" t="str">
        <f>IF(OR('Summary Op Stmt (Operators)'!$B$20=0,'Summary Op Stmt (Operators)'!$B$20=""),"",B24/'Summary Op Stmt (Operators)'!$B$20)</f>
        <v/>
      </c>
      <c r="D24" s="36">
        <f>D21+D22+D23</f>
        <v>0</v>
      </c>
      <c r="E24" s="37" t="str">
        <f>IF(OR('Summary Op Stmt (Operators)'!$D$20=0,'Summary Op Stmt (Operators)'!$D$20=""),"",D24/'Summary Op Stmt (Operators)'!$D$20)</f>
        <v/>
      </c>
      <c r="F24" s="36">
        <f>F21+F22+F23</f>
        <v>0</v>
      </c>
      <c r="G24" s="37" t="str">
        <f>IF(OR('Summary Op Stmt (Operators)'!$F$20=0,'Summary Op Stmt (Operators)'!$F$20=""),"",F24/'Summary Op Stmt (Operators)'!$F$20)</f>
        <v/>
      </c>
      <c r="H24" s="36">
        <f>H21+H22+H23</f>
        <v>0</v>
      </c>
      <c r="I24" s="37" t="str">
        <f>IF(OR('Summary Op Stmt (Operators)'!$H$20=0,'Summary Op Stmt (Operators)'!$H$20=""),"",H24/'Summary Op Stmt (Operators)'!$H$20)</f>
        <v/>
      </c>
      <c r="J24" s="36">
        <f>J21+J22+J23</f>
        <v>0</v>
      </c>
      <c r="K24" s="37" t="str">
        <f>IF(OR('Summary Op Stmt (Operators)'!$J$20=0,'Summary Op Stmt (Operators)'!$J$20=""),"",J24/'Summary Op Stmt (Operators)'!$J$20)</f>
        <v/>
      </c>
      <c r="L24" s="36">
        <f>L21+L22+L23</f>
        <v>0</v>
      </c>
      <c r="M24" s="37" t="str">
        <f>IF(OR('Summary Op Stmt (Operators)'!$L$20=0,'Summary Op Stmt (Operators)'!$L$20=""),"",L24/'Summary Op Stmt (Operators)'!$L$20)</f>
        <v/>
      </c>
    </row>
    <row r="25" spans="1:13" x14ac:dyDescent="0.2">
      <c r="A25" s="35" t="s">
        <v>170</v>
      </c>
      <c r="B25" s="36">
        <f>B19+B24</f>
        <v>0</v>
      </c>
      <c r="C25" s="37" t="str">
        <f>IF(OR('Summary Op Stmt (Operators)'!$B$20=0,'Summary Op Stmt (Operators)'!$B$20=""),"",B25/'Summary Op Stmt (Operators)'!$B$20)</f>
        <v/>
      </c>
      <c r="D25" s="36">
        <f>D19+D24</f>
        <v>0</v>
      </c>
      <c r="E25" s="37" t="str">
        <f>IF(OR('Summary Op Stmt (Operators)'!$D$20=0,'Summary Op Stmt (Operators)'!$D$20=""),"",D25/'Summary Op Stmt (Operators)'!$D$20)</f>
        <v/>
      </c>
      <c r="F25" s="36">
        <f>F19+F24</f>
        <v>0</v>
      </c>
      <c r="G25" s="37" t="str">
        <f>IF(OR('Summary Op Stmt (Operators)'!$F$20=0,'Summary Op Stmt (Operators)'!$F$20=""),"",F25/'Summary Op Stmt (Operators)'!$F$20)</f>
        <v/>
      </c>
      <c r="H25" s="36">
        <f>H19+H24</f>
        <v>0</v>
      </c>
      <c r="I25" s="37" t="str">
        <f>IF(OR('Summary Op Stmt (Operators)'!$H$20=0,'Summary Op Stmt (Operators)'!$H$20=""),"",H25/'Summary Op Stmt (Operators)'!$H$20)</f>
        <v/>
      </c>
      <c r="J25" s="36">
        <f>J19+J24</f>
        <v>0</v>
      </c>
      <c r="K25" s="37" t="str">
        <f>IF(OR('Summary Op Stmt (Operators)'!$J$20=0,'Summary Op Stmt (Operators)'!$J$20=""),"",J25/'Summary Op Stmt (Operators)'!$J$20)</f>
        <v/>
      </c>
      <c r="L25" s="36">
        <f>L19+L24</f>
        <v>0</v>
      </c>
      <c r="M25" s="37" t="str">
        <f>IF(OR('Summary Op Stmt (Operators)'!$L$20=0,'Summary Op Stmt (Operators)'!$L$20=""),"",L25/'Summary Op Stmt (Operators)'!$L$20)</f>
        <v/>
      </c>
    </row>
    <row r="26" spans="1:13" x14ac:dyDescent="0.2">
      <c r="A26" s="23" t="s">
        <v>370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 x14ac:dyDescent="0.2">
      <c r="A27" s="25" t="s">
        <v>371</v>
      </c>
      <c r="B27" s="26"/>
      <c r="C27" s="31" t="str">
        <f>IF(OR('Summary Op Stmt (Operators)'!$B$20=0,'Summary Op Stmt (Operators)'!$B$20=""),"",B27/'Summary Op Stmt (Operators)'!$B$20)</f>
        <v/>
      </c>
      <c r="D27" s="26"/>
      <c r="E27" s="31" t="str">
        <f>IF(OR('Summary Op Stmt (Operators)'!$D$20=0,'Summary Op Stmt (Operators)'!$D$20=""),"",D27/'Summary Op Stmt (Operators)'!$D$20)</f>
        <v/>
      </c>
      <c r="F27" s="26"/>
      <c r="G27" s="31" t="str">
        <f>IF(OR('Summary Op Stmt (Operators)'!$F$20=0,'Summary Op Stmt (Operators)'!$F$20=""),"",F27/'Summary Op Stmt (Operators)'!$F$20)</f>
        <v/>
      </c>
      <c r="H27" s="26"/>
      <c r="I27" s="31" t="str">
        <f>IF(OR('Summary Op Stmt (Operators)'!$H$20=0,'Summary Op Stmt (Operators)'!$H$20=""),"",H27/'Summary Op Stmt (Operators)'!$H$20)</f>
        <v/>
      </c>
      <c r="J27" s="26"/>
      <c r="K27" s="31" t="str">
        <f>IF(OR('Summary Op Stmt (Operators)'!$J$20=0,'Summary Op Stmt (Operators)'!$J$20=""),"",J27/'Summary Op Stmt (Operators)'!$J$20)</f>
        <v/>
      </c>
      <c r="L27" s="26"/>
      <c r="M27" s="31" t="str">
        <f>IF(OR('Summary Op Stmt (Operators)'!$L$20=0,'Summary Op Stmt (Operators)'!$L$20=""),"",L27/'Summary Op Stmt (Operators)'!$L$20)</f>
        <v/>
      </c>
    </row>
    <row r="28" spans="1:13" x14ac:dyDescent="0.2">
      <c r="A28" s="25" t="s">
        <v>372</v>
      </c>
      <c r="B28" s="26"/>
      <c r="C28" s="31" t="str">
        <f>IF(OR('Summary Op Stmt (Operators)'!$B$20=0,'Summary Op Stmt (Operators)'!$B$20=""),"",B28/'Summary Op Stmt (Operators)'!$B$20)</f>
        <v/>
      </c>
      <c r="D28" s="26"/>
      <c r="E28" s="31" t="str">
        <f>IF(OR('Summary Op Stmt (Operators)'!$D$20=0,'Summary Op Stmt (Operators)'!$D$20=""),"",D28/'Summary Op Stmt (Operators)'!$D$20)</f>
        <v/>
      </c>
      <c r="F28" s="26"/>
      <c r="G28" s="31" t="str">
        <f>IF(OR('Summary Op Stmt (Operators)'!$F$20=0,'Summary Op Stmt (Operators)'!$F$20=""),"",F28/'Summary Op Stmt (Operators)'!$F$20)</f>
        <v/>
      </c>
      <c r="H28" s="26"/>
      <c r="I28" s="31" t="str">
        <f>IF(OR('Summary Op Stmt (Operators)'!$H$20=0,'Summary Op Stmt (Operators)'!$H$20=""),"",H28/'Summary Op Stmt (Operators)'!$H$20)</f>
        <v/>
      </c>
      <c r="J28" s="26"/>
      <c r="K28" s="31" t="str">
        <f>IF(OR('Summary Op Stmt (Operators)'!$J$20=0,'Summary Op Stmt (Operators)'!$J$20=""),"",J28/'Summary Op Stmt (Operators)'!$J$20)</f>
        <v/>
      </c>
      <c r="L28" s="26"/>
      <c r="M28" s="31" t="str">
        <f>IF(OR('Summary Op Stmt (Operators)'!$L$20=0,'Summary Op Stmt (Operators)'!$L$20=""),"",L28/'Summary Op Stmt (Operators)'!$L$20)</f>
        <v/>
      </c>
    </row>
    <row r="29" spans="1:13" x14ac:dyDescent="0.2">
      <c r="A29" s="25" t="s">
        <v>373</v>
      </c>
      <c r="B29" s="26"/>
      <c r="C29" s="31" t="str">
        <f>IF(OR('Summary Op Stmt (Operators)'!$B$20=0,'Summary Op Stmt (Operators)'!$B$20=""),"",B29/'Summary Op Stmt (Operators)'!$B$20)</f>
        <v/>
      </c>
      <c r="D29" s="26"/>
      <c r="E29" s="31" t="str">
        <f>IF(OR('Summary Op Stmt (Operators)'!$D$20=0,'Summary Op Stmt (Operators)'!$D$20=""),"",D29/'Summary Op Stmt (Operators)'!$D$20)</f>
        <v/>
      </c>
      <c r="F29" s="26"/>
      <c r="G29" s="31" t="str">
        <f>IF(OR('Summary Op Stmt (Operators)'!$F$20=0,'Summary Op Stmt (Operators)'!$F$20=""),"",F29/'Summary Op Stmt (Operators)'!$F$20)</f>
        <v/>
      </c>
      <c r="H29" s="26"/>
      <c r="I29" s="31" t="str">
        <f>IF(OR('Summary Op Stmt (Operators)'!$H$20=0,'Summary Op Stmt (Operators)'!$H$20=""),"",H29/'Summary Op Stmt (Operators)'!$H$20)</f>
        <v/>
      </c>
      <c r="J29" s="26"/>
      <c r="K29" s="31" t="str">
        <f>IF(OR('Summary Op Stmt (Operators)'!$J$20=0,'Summary Op Stmt (Operators)'!$J$20=""),"",J29/'Summary Op Stmt (Operators)'!$J$20)</f>
        <v/>
      </c>
      <c r="L29" s="26"/>
      <c r="M29" s="31" t="str">
        <f>IF(OR('Summary Op Stmt (Operators)'!$L$20=0,'Summary Op Stmt (Operators)'!$L$20=""),"",L29/'Summary Op Stmt (Operators)'!$L$20)</f>
        <v/>
      </c>
    </row>
    <row r="30" spans="1:13" x14ac:dyDescent="0.2">
      <c r="A30" s="25" t="s">
        <v>374</v>
      </c>
      <c r="B30" s="26"/>
      <c r="C30" s="31" t="str">
        <f>IF(OR('Summary Op Stmt (Operators)'!$B$20=0,'Summary Op Stmt (Operators)'!$B$20=""),"",B30/'Summary Op Stmt (Operators)'!$B$20)</f>
        <v/>
      </c>
      <c r="D30" s="26"/>
      <c r="E30" s="31" t="str">
        <f>IF(OR('Summary Op Stmt (Operators)'!$D$20=0,'Summary Op Stmt (Operators)'!$D$20=""),"",D30/'Summary Op Stmt (Operators)'!$D$20)</f>
        <v/>
      </c>
      <c r="F30" s="26"/>
      <c r="G30" s="31" t="str">
        <f>IF(OR('Summary Op Stmt (Operators)'!$F$20=0,'Summary Op Stmt (Operators)'!$F$20=""),"",F30/'Summary Op Stmt (Operators)'!$F$20)</f>
        <v/>
      </c>
      <c r="H30" s="26"/>
      <c r="I30" s="31" t="str">
        <f>IF(OR('Summary Op Stmt (Operators)'!$H$20=0,'Summary Op Stmt (Operators)'!$H$20=""),"",H30/'Summary Op Stmt (Operators)'!$H$20)</f>
        <v/>
      </c>
      <c r="J30" s="26"/>
      <c r="K30" s="31" t="str">
        <f>IF(OR('Summary Op Stmt (Operators)'!$J$20=0,'Summary Op Stmt (Operators)'!$J$20=""),"",J30/'Summary Op Stmt (Operators)'!$J$20)</f>
        <v/>
      </c>
      <c r="L30" s="26"/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375</v>
      </c>
      <c r="B31" s="26"/>
      <c r="C31" s="31" t="str">
        <f>IF(OR('Summary Op Stmt (Operators)'!$B$20=0,'Summary Op Stmt (Operators)'!$B$20=""),"",B31/'Summary Op Stmt (Operators)'!$B$20)</f>
        <v/>
      </c>
      <c r="D31" s="26"/>
      <c r="E31" s="31" t="str">
        <f>IF(OR('Summary Op Stmt (Operators)'!$D$20=0,'Summary Op Stmt (Operators)'!$D$20=""),"",D31/'Summary Op Stmt (Operators)'!$D$20)</f>
        <v/>
      </c>
      <c r="F31" s="26"/>
      <c r="G31" s="31" t="str">
        <f>IF(OR('Summary Op Stmt (Operators)'!$F$20=0,'Summary Op Stmt (Operators)'!$F$20=""),"",F31/'Summary Op Stmt (Operators)'!$F$20)</f>
        <v/>
      </c>
      <c r="H31" s="26"/>
      <c r="I31" s="31" t="str">
        <f>IF(OR('Summary Op Stmt (Operators)'!$H$20=0,'Summary Op Stmt (Operators)'!$H$20=""),"",H31/'Summary Op Stmt (Operators)'!$H$20)</f>
        <v/>
      </c>
      <c r="J31" s="26"/>
      <c r="K31" s="31" t="str">
        <f>IF(OR('Summary Op Stmt (Operators)'!$J$20=0,'Summary Op Stmt (Operators)'!$J$20=""),"",J31/'Summary Op Stmt (Operators)'!$J$20)</f>
        <v/>
      </c>
      <c r="L31" s="26"/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35" t="s">
        <v>376</v>
      </c>
      <c r="B32" s="36">
        <f>B30+B30+B30+B30+B31</f>
        <v>0</v>
      </c>
      <c r="C32" s="37" t="str">
        <f>IF(OR('Summary Op Stmt (Operators)'!$B$20=0,'Summary Op Stmt (Operators)'!$B$20=""),"",B32/'Summary Op Stmt (Operators)'!$B$20)</f>
        <v/>
      </c>
      <c r="D32" s="36">
        <f>D30+D30+D30+D30+D31</f>
        <v>0</v>
      </c>
      <c r="E32" s="37" t="str">
        <f>IF(OR('Summary Op Stmt (Operators)'!$D$20=0,'Summary Op Stmt (Operators)'!$D$20=""),"",D32/'Summary Op Stmt (Operators)'!$D$20)</f>
        <v/>
      </c>
      <c r="F32" s="36">
        <f>F30+F30+F30+F30+F31</f>
        <v>0</v>
      </c>
      <c r="G32" s="37" t="str">
        <f>IF(OR('Summary Op Stmt (Operators)'!$F$20=0,'Summary Op Stmt (Operators)'!$F$20=""),"",F32/'Summary Op Stmt (Operators)'!$F$20)</f>
        <v/>
      </c>
      <c r="H32" s="36">
        <f>H30+H30+H30+H30+H31</f>
        <v>0</v>
      </c>
      <c r="I32" s="37" t="str">
        <f>IF(OR('Summary Op Stmt (Operators)'!$H$20=0,'Summary Op Stmt (Operators)'!$H$20=""),"",H32/'Summary Op Stmt (Operators)'!$H$20)</f>
        <v/>
      </c>
      <c r="J32" s="36">
        <f>J30+J30+J30+J30+J31</f>
        <v>0</v>
      </c>
      <c r="K32" s="37" t="str">
        <f>IF(OR('Summary Op Stmt (Operators)'!$J$20=0,'Summary Op Stmt (Operators)'!$J$20=""),"",J32/'Summary Op Stmt (Operators)'!$J$20)</f>
        <v/>
      </c>
      <c r="L32" s="36">
        <f>L30+L30+L30+L30+L31</f>
        <v>0</v>
      </c>
      <c r="M32" s="37" t="str">
        <f>IF(OR('Summary Op Stmt (Operators)'!$L$20=0,'Summary Op Stmt (Operators)'!$L$20=""),"",L32/'Summary Op Stmt (Operators)'!$L$20)</f>
        <v/>
      </c>
    </row>
    <row r="33" spans="1:13" x14ac:dyDescent="0.2">
      <c r="A33" s="23" t="s">
        <v>377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x14ac:dyDescent="0.2">
      <c r="A34" s="25" t="s">
        <v>99</v>
      </c>
      <c r="B34" s="26"/>
      <c r="C34" s="31" t="str">
        <f>IF(OR('Summary Op Stmt (Operators)'!$B$20=0,'Summary Op Stmt (Operators)'!$B$20=""),"",B34/'Summary Op Stmt (Operators)'!$B$20)</f>
        <v/>
      </c>
      <c r="D34" s="26"/>
      <c r="E34" s="31" t="str">
        <f>IF(OR('Summary Op Stmt (Operators)'!$D$20=0,'Summary Op Stmt (Operators)'!$D$20=""),"",D34/'Summary Op Stmt (Operators)'!$D$20)</f>
        <v/>
      </c>
      <c r="F34" s="26"/>
      <c r="G34" s="31" t="str">
        <f>IF(OR('Summary Op Stmt (Operators)'!$F$20=0,'Summary Op Stmt (Operators)'!$F$20=""),"",F34/'Summary Op Stmt (Operators)'!$F$20)</f>
        <v/>
      </c>
      <c r="H34" s="26"/>
      <c r="I34" s="31" t="str">
        <f>IF(OR('Summary Op Stmt (Operators)'!$H$20=0,'Summary Op Stmt (Operators)'!$H$20=""),"",H34/'Summary Op Stmt (Operators)'!$H$20)</f>
        <v/>
      </c>
      <c r="J34" s="26"/>
      <c r="K34" s="31" t="str">
        <f>IF(OR('Summary Op Stmt (Operators)'!$J$20=0,'Summary Op Stmt (Operators)'!$J$20=""),"",J34/'Summary Op Stmt (Operators)'!$J$20)</f>
        <v/>
      </c>
      <c r="L34" s="26"/>
      <c r="M34" s="31" t="str">
        <f>IF(OR('Summary Op Stmt (Operators)'!$L$20=0,'Summary Op Stmt (Operators)'!$L$20=""),"",L34/'Summary Op Stmt (Operators)'!$L$20)</f>
        <v/>
      </c>
    </row>
    <row r="35" spans="1:13" x14ac:dyDescent="0.2">
      <c r="A35" s="25" t="s">
        <v>378</v>
      </c>
      <c r="B35" s="26"/>
      <c r="C35" s="31" t="str">
        <f>IF(OR('Summary Op Stmt (Operators)'!$B$20=0,'Summary Op Stmt (Operators)'!$B$20=""),"",B35/'Summary Op Stmt (Operators)'!$B$20)</f>
        <v/>
      </c>
      <c r="D35" s="26"/>
      <c r="E35" s="31" t="str">
        <f>IF(OR('Summary Op Stmt (Operators)'!$D$20=0,'Summary Op Stmt (Operators)'!$D$20=""),"",D35/'Summary Op Stmt (Operators)'!$D$20)</f>
        <v/>
      </c>
      <c r="F35" s="26"/>
      <c r="G35" s="31" t="str">
        <f>IF(OR('Summary Op Stmt (Operators)'!$F$20=0,'Summary Op Stmt (Operators)'!$F$20=""),"",F35/'Summary Op Stmt (Operators)'!$F$20)</f>
        <v/>
      </c>
      <c r="H35" s="26"/>
      <c r="I35" s="31" t="str">
        <f>IF(OR('Summary Op Stmt (Operators)'!$H$20=0,'Summary Op Stmt (Operators)'!$H$20=""),"",H35/'Summary Op Stmt (Operators)'!$H$20)</f>
        <v/>
      </c>
      <c r="J35" s="26"/>
      <c r="K35" s="31" t="str">
        <f>IF(OR('Summary Op Stmt (Operators)'!$J$20=0,'Summary Op Stmt (Operators)'!$J$20=""),"",J35/'Summary Op Stmt (Operators)'!$J$20)</f>
        <v/>
      </c>
      <c r="L35" s="26"/>
      <c r="M35" s="31" t="str">
        <f>IF(OR('Summary Op Stmt (Operators)'!$L$20=0,'Summary Op Stmt (Operators)'!$L$20=""),"",L35/'Summary Op Stmt (Operators)'!$L$20)</f>
        <v/>
      </c>
    </row>
    <row r="36" spans="1:13" x14ac:dyDescent="0.2">
      <c r="A36" s="25" t="s">
        <v>379</v>
      </c>
      <c r="B36" s="26"/>
      <c r="C36" s="31" t="str">
        <f>IF(OR('Summary Op Stmt (Operators)'!$B$20=0,'Summary Op Stmt (Operators)'!$B$20=""),"",B36/'Summary Op Stmt (Operators)'!$B$20)</f>
        <v/>
      </c>
      <c r="D36" s="26"/>
      <c r="E36" s="31" t="str">
        <f>IF(OR('Summary Op Stmt (Operators)'!$D$20=0,'Summary Op Stmt (Operators)'!$D$20=""),"",D36/'Summary Op Stmt (Operators)'!$D$20)</f>
        <v/>
      </c>
      <c r="F36" s="26"/>
      <c r="G36" s="31" t="str">
        <f>IF(OR('Summary Op Stmt (Operators)'!$F$20=0,'Summary Op Stmt (Operators)'!$F$20=""),"",F36/'Summary Op Stmt (Operators)'!$F$20)</f>
        <v/>
      </c>
      <c r="H36" s="26"/>
      <c r="I36" s="31" t="str">
        <f>IF(OR('Summary Op Stmt (Operators)'!$H$20=0,'Summary Op Stmt (Operators)'!$H$20=""),"",H36/'Summary Op Stmt (Operators)'!$H$20)</f>
        <v/>
      </c>
      <c r="J36" s="26"/>
      <c r="K36" s="31" t="str">
        <f>IF(OR('Summary Op Stmt (Operators)'!$J$20=0,'Summary Op Stmt (Operators)'!$J$20=""),"",J36/'Summary Op Stmt (Operators)'!$J$20)</f>
        <v/>
      </c>
      <c r="L36" s="26"/>
      <c r="M36" s="31" t="str">
        <f>IF(OR('Summary Op Stmt (Operators)'!$L$20=0,'Summary Op Stmt (Operators)'!$L$20=""),"",L36/'Summary Op Stmt (Operators)'!$L$20)</f>
        <v/>
      </c>
    </row>
    <row r="37" spans="1:13" x14ac:dyDescent="0.2">
      <c r="A37" s="25" t="s">
        <v>91</v>
      </c>
      <c r="B37" s="26"/>
      <c r="C37" s="31" t="str">
        <f>IF(OR('Summary Op Stmt (Operators)'!$B$20=0,'Summary Op Stmt (Operators)'!$B$20=""),"",B37/'Summary Op Stmt (Operators)'!$B$20)</f>
        <v/>
      </c>
      <c r="D37" s="26"/>
      <c r="E37" s="31" t="str">
        <f>IF(OR('Summary Op Stmt (Operators)'!$D$20=0,'Summary Op Stmt (Operators)'!$D$20=""),"",D37/'Summary Op Stmt (Operators)'!$D$20)</f>
        <v/>
      </c>
      <c r="F37" s="26"/>
      <c r="G37" s="31" t="str">
        <f>IF(OR('Summary Op Stmt (Operators)'!$F$20=0,'Summary Op Stmt (Operators)'!$F$20=""),"",F37/'Summary Op Stmt (Operators)'!$F$20)</f>
        <v/>
      </c>
      <c r="H37" s="26"/>
      <c r="I37" s="31" t="str">
        <f>IF(OR('Summary Op Stmt (Operators)'!$H$20=0,'Summary Op Stmt (Operators)'!$H$20=""),"",H37/'Summary Op Stmt (Operators)'!$H$20)</f>
        <v/>
      </c>
      <c r="J37" s="26"/>
      <c r="K37" s="31" t="str">
        <f>IF(OR('Summary Op Stmt (Operators)'!$J$20=0,'Summary Op Stmt (Operators)'!$J$20=""),"",J37/'Summary Op Stmt (Operators)'!$J$20)</f>
        <v/>
      </c>
      <c r="L37" s="26"/>
      <c r="M37" s="31" t="str">
        <f>IF(OR('Summary Op Stmt (Operators)'!$L$20=0,'Summary Op Stmt (Operators)'!$L$20=""),"",L37/'Summary Op Stmt (Operators)'!$L$20)</f>
        <v/>
      </c>
    </row>
    <row r="38" spans="1:13" x14ac:dyDescent="0.2">
      <c r="A38" s="25" t="s">
        <v>380</v>
      </c>
      <c r="B38" s="26"/>
      <c r="C38" s="31" t="str">
        <f>IF(OR('Summary Op Stmt (Operators)'!$B$20=0,'Summary Op Stmt (Operators)'!$B$20=""),"",B38/'Summary Op Stmt (Operators)'!$B$20)</f>
        <v/>
      </c>
      <c r="D38" s="26"/>
      <c r="E38" s="31" t="str">
        <f>IF(OR('Summary Op Stmt (Operators)'!$D$20=0,'Summary Op Stmt (Operators)'!$D$20=""),"",D38/'Summary Op Stmt (Operators)'!$D$20)</f>
        <v/>
      </c>
      <c r="F38" s="26"/>
      <c r="G38" s="31" t="str">
        <f>IF(OR('Summary Op Stmt (Operators)'!$F$20=0,'Summary Op Stmt (Operators)'!$F$20=""),"",F38/'Summary Op Stmt (Operators)'!$F$20)</f>
        <v/>
      </c>
      <c r="H38" s="26"/>
      <c r="I38" s="31" t="str">
        <f>IF(OR('Summary Op Stmt (Operators)'!$H$20=0,'Summary Op Stmt (Operators)'!$H$20=""),"",H38/'Summary Op Stmt (Operators)'!$H$20)</f>
        <v/>
      </c>
      <c r="J38" s="26"/>
      <c r="K38" s="31" t="str">
        <f>IF(OR('Summary Op Stmt (Operators)'!$J$20=0,'Summary Op Stmt (Operators)'!$J$20=""),"",J38/'Summary Op Stmt (Operators)'!$J$20)</f>
        <v/>
      </c>
      <c r="L38" s="26"/>
      <c r="M38" s="31" t="str">
        <f>IF(OR('Summary Op Stmt (Operators)'!$L$20=0,'Summary Op Stmt (Operators)'!$L$20=""),"",L38/'Summary Op Stmt (Operators)'!$L$20)</f>
        <v/>
      </c>
    </row>
    <row r="39" spans="1:13" x14ac:dyDescent="0.2">
      <c r="A39" s="25" t="s">
        <v>381</v>
      </c>
      <c r="B39" s="26"/>
      <c r="C39" s="31" t="str">
        <f>IF(OR('Summary Op Stmt (Operators)'!$B$20=0,'Summary Op Stmt (Operators)'!$B$20=""),"",B39/'Summary Op Stmt (Operators)'!$B$20)</f>
        <v/>
      </c>
      <c r="D39" s="26"/>
      <c r="E39" s="31" t="str">
        <f>IF(OR('Summary Op Stmt (Operators)'!$D$20=0,'Summary Op Stmt (Operators)'!$D$20=""),"",D39/'Summary Op Stmt (Operators)'!$D$20)</f>
        <v/>
      </c>
      <c r="F39" s="26"/>
      <c r="G39" s="31" t="str">
        <f>IF(OR('Summary Op Stmt (Operators)'!$F$20=0,'Summary Op Stmt (Operators)'!$F$20=""),"",F39/'Summary Op Stmt (Operators)'!$F$20)</f>
        <v/>
      </c>
      <c r="H39" s="26"/>
      <c r="I39" s="31" t="str">
        <f>IF(OR('Summary Op Stmt (Operators)'!$H$20=0,'Summary Op Stmt (Operators)'!$H$20=""),"",H39/'Summary Op Stmt (Operators)'!$H$20)</f>
        <v/>
      </c>
      <c r="J39" s="26"/>
      <c r="K39" s="31" t="str">
        <f>IF(OR('Summary Op Stmt (Operators)'!$J$20=0,'Summary Op Stmt (Operators)'!$J$20=""),"",J39/'Summary Op Stmt (Operators)'!$J$20)</f>
        <v/>
      </c>
      <c r="L39" s="26"/>
      <c r="M39" s="31" t="str">
        <f>IF(OR('Summary Op Stmt (Operators)'!$L$20=0,'Summary Op Stmt (Operators)'!$L$20=""),"",L39/'Summary Op Stmt (Operators)'!$L$20)</f>
        <v/>
      </c>
    </row>
    <row r="40" spans="1:13" x14ac:dyDescent="0.2">
      <c r="A40" s="25" t="s">
        <v>382</v>
      </c>
      <c r="B40" s="26"/>
      <c r="C40" s="31" t="str">
        <f>IF(OR('Summary Op Stmt (Operators)'!$B$20=0,'Summary Op Stmt (Operators)'!$B$20=""),"",B40/'Summary Op Stmt (Operators)'!$B$20)</f>
        <v/>
      </c>
      <c r="D40" s="26"/>
      <c r="E40" s="31" t="str">
        <f>IF(OR('Summary Op Stmt (Operators)'!$D$20=0,'Summary Op Stmt (Operators)'!$D$20=""),"",D40/'Summary Op Stmt (Operators)'!$D$20)</f>
        <v/>
      </c>
      <c r="F40" s="26"/>
      <c r="G40" s="31" t="str">
        <f>IF(OR('Summary Op Stmt (Operators)'!$F$20=0,'Summary Op Stmt (Operators)'!$F$20=""),"",F40/'Summary Op Stmt (Operators)'!$F$20)</f>
        <v/>
      </c>
      <c r="H40" s="26"/>
      <c r="I40" s="31" t="str">
        <f>IF(OR('Summary Op Stmt (Operators)'!$H$20=0,'Summary Op Stmt (Operators)'!$H$20=""),"",H40/'Summary Op Stmt (Operators)'!$H$20)</f>
        <v/>
      </c>
      <c r="J40" s="26"/>
      <c r="K40" s="31" t="str">
        <f>IF(OR('Summary Op Stmt (Operators)'!$J$20=0,'Summary Op Stmt (Operators)'!$J$20=""),"",J40/'Summary Op Stmt (Operators)'!$J$20)</f>
        <v/>
      </c>
      <c r="L40" s="26"/>
      <c r="M40" s="31" t="str">
        <f>IF(OR('Summary Op Stmt (Operators)'!$L$20=0,'Summary Op Stmt (Operators)'!$L$20=""),"",L40/'Summary Op Stmt (Operators)'!$L$20)</f>
        <v/>
      </c>
    </row>
    <row r="41" spans="1:13" x14ac:dyDescent="0.2">
      <c r="A41" s="25" t="s">
        <v>357</v>
      </c>
      <c r="B41" s="26"/>
      <c r="C41" s="31" t="str">
        <f>IF(OR('Summary Op Stmt (Operators)'!$B$20=0,'Summary Op Stmt (Operators)'!$B$20=""),"",B41/'Summary Op Stmt (Operators)'!$B$20)</f>
        <v/>
      </c>
      <c r="D41" s="26"/>
      <c r="E41" s="31" t="str">
        <f>IF(OR('Summary Op Stmt (Operators)'!$D$20=0,'Summary Op Stmt (Operators)'!$D$20=""),"",D41/'Summary Op Stmt (Operators)'!$D$20)</f>
        <v/>
      </c>
      <c r="F41" s="26"/>
      <c r="G41" s="31" t="str">
        <f>IF(OR('Summary Op Stmt (Operators)'!$F$20=0,'Summary Op Stmt (Operators)'!$F$20=""),"",F41/'Summary Op Stmt (Operators)'!$F$20)</f>
        <v/>
      </c>
      <c r="H41" s="26"/>
      <c r="I41" s="31" t="str">
        <f>IF(OR('Summary Op Stmt (Operators)'!$H$20=0,'Summary Op Stmt (Operators)'!$H$20=""),"",H41/'Summary Op Stmt (Operators)'!$H$20)</f>
        <v/>
      </c>
      <c r="J41" s="26"/>
      <c r="K41" s="31" t="str">
        <f>IF(OR('Summary Op Stmt (Operators)'!$J$20=0,'Summary Op Stmt (Operators)'!$J$20=""),"",J41/'Summary Op Stmt (Operators)'!$J$20)</f>
        <v/>
      </c>
      <c r="L41" s="26"/>
      <c r="M41" s="31" t="str">
        <f>IF(OR('Summary Op Stmt (Operators)'!$L$20=0,'Summary Op Stmt (Operators)'!$L$20=""),"",L41/'Summary Op Stmt (Operators)'!$L$20)</f>
        <v/>
      </c>
    </row>
    <row r="42" spans="1:13" x14ac:dyDescent="0.2">
      <c r="A42" s="25" t="s">
        <v>383</v>
      </c>
      <c r="B42" s="26"/>
      <c r="C42" s="31" t="str">
        <f>IF(OR('Summary Op Stmt (Operators)'!$B$20=0,'Summary Op Stmt (Operators)'!$B$20=""),"",B42/'Summary Op Stmt (Operators)'!$B$20)</f>
        <v/>
      </c>
      <c r="D42" s="26"/>
      <c r="E42" s="31" t="str">
        <f>IF(OR('Summary Op Stmt (Operators)'!$D$20=0,'Summary Op Stmt (Operators)'!$D$20=""),"",D42/'Summary Op Stmt (Operators)'!$D$20)</f>
        <v/>
      </c>
      <c r="F42" s="26"/>
      <c r="G42" s="31" t="str">
        <f>IF(OR('Summary Op Stmt (Operators)'!$F$20=0,'Summary Op Stmt (Operators)'!$F$20=""),"",F42/'Summary Op Stmt (Operators)'!$F$20)</f>
        <v/>
      </c>
      <c r="H42" s="26"/>
      <c r="I42" s="31" t="str">
        <f>IF(OR('Summary Op Stmt (Operators)'!$H$20=0,'Summary Op Stmt (Operators)'!$H$20=""),"",H42/'Summary Op Stmt (Operators)'!$H$20)</f>
        <v/>
      </c>
      <c r="J42" s="26"/>
      <c r="K42" s="31" t="str">
        <f>IF(OR('Summary Op Stmt (Operators)'!$J$20=0,'Summary Op Stmt (Operators)'!$J$20=""),"",J42/'Summary Op Stmt (Operators)'!$J$20)</f>
        <v/>
      </c>
      <c r="L42" s="26"/>
      <c r="M42" s="31" t="str">
        <f>IF(OR('Summary Op Stmt (Operators)'!$L$20=0,'Summary Op Stmt (Operators)'!$L$20=""),"",L42/'Summary Op Stmt (Operators)'!$L$20)</f>
        <v/>
      </c>
    </row>
    <row r="43" spans="1:13" x14ac:dyDescent="0.2">
      <c r="A43" s="25" t="s">
        <v>384</v>
      </c>
      <c r="B43" s="26"/>
      <c r="C43" s="31" t="str">
        <f>IF(OR('Summary Op Stmt (Operators)'!$B$20=0,'Summary Op Stmt (Operators)'!$B$20=""),"",B43/'Summary Op Stmt (Operators)'!$B$20)</f>
        <v/>
      </c>
      <c r="D43" s="26"/>
      <c r="E43" s="31" t="str">
        <f>IF(OR('Summary Op Stmt (Operators)'!$D$20=0,'Summary Op Stmt (Operators)'!$D$20=""),"",D43/'Summary Op Stmt (Operators)'!$D$20)</f>
        <v/>
      </c>
      <c r="F43" s="26"/>
      <c r="G43" s="31" t="str">
        <f>IF(OR('Summary Op Stmt (Operators)'!$F$20=0,'Summary Op Stmt (Operators)'!$F$20=""),"",F43/'Summary Op Stmt (Operators)'!$F$20)</f>
        <v/>
      </c>
      <c r="H43" s="26"/>
      <c r="I43" s="31" t="str">
        <f>IF(OR('Summary Op Stmt (Operators)'!$H$20=0,'Summary Op Stmt (Operators)'!$H$20=""),"",H43/'Summary Op Stmt (Operators)'!$H$20)</f>
        <v/>
      </c>
      <c r="J43" s="26"/>
      <c r="K43" s="31" t="str">
        <f>IF(OR('Summary Op Stmt (Operators)'!$J$20=0,'Summary Op Stmt (Operators)'!$J$20=""),"",J43/'Summary Op Stmt (Operators)'!$J$20)</f>
        <v/>
      </c>
      <c r="L43" s="26"/>
      <c r="M43" s="31" t="str">
        <f>IF(OR('Summary Op Stmt (Operators)'!$L$20=0,'Summary Op Stmt (Operators)'!$L$20=""),"",L43/'Summary Op Stmt (Operators)'!$L$20)</f>
        <v/>
      </c>
    </row>
    <row r="44" spans="1:13" x14ac:dyDescent="0.2">
      <c r="A44" s="25" t="s">
        <v>112</v>
      </c>
      <c r="B44" s="26"/>
      <c r="C44" s="31" t="str">
        <f>IF(OR('Summary Op Stmt (Operators)'!$B$20=0,'Summary Op Stmt (Operators)'!$B$20=""),"",B44/'Summary Op Stmt (Operators)'!$B$20)</f>
        <v/>
      </c>
      <c r="D44" s="26"/>
      <c r="E44" s="31" t="str">
        <f>IF(OR('Summary Op Stmt (Operators)'!$D$20=0,'Summary Op Stmt (Operators)'!$D$20=""),"",D44/'Summary Op Stmt (Operators)'!$D$20)</f>
        <v/>
      </c>
      <c r="F44" s="26"/>
      <c r="G44" s="31" t="str">
        <f>IF(OR('Summary Op Stmt (Operators)'!$F$20=0,'Summary Op Stmt (Operators)'!$F$20=""),"",F44/'Summary Op Stmt (Operators)'!$F$20)</f>
        <v/>
      </c>
      <c r="H44" s="26"/>
      <c r="I44" s="31" t="str">
        <f>IF(OR('Summary Op Stmt (Operators)'!$H$20=0,'Summary Op Stmt (Operators)'!$H$20=""),"",H44/'Summary Op Stmt (Operators)'!$H$20)</f>
        <v/>
      </c>
      <c r="J44" s="26"/>
      <c r="K44" s="31" t="str">
        <f>IF(OR('Summary Op Stmt (Operators)'!$J$20=0,'Summary Op Stmt (Operators)'!$J$20=""),"",J44/'Summary Op Stmt (Operators)'!$J$20)</f>
        <v/>
      </c>
      <c r="L44" s="26"/>
      <c r="M44" s="31" t="str">
        <f>IF(OR('Summary Op Stmt (Operators)'!$L$20=0,'Summary Op Stmt (Operators)'!$L$20=""),"",L44/'Summary Op Stmt (Operators)'!$L$20)</f>
        <v/>
      </c>
    </row>
    <row r="45" spans="1:13" x14ac:dyDescent="0.2">
      <c r="A45" s="25" t="s">
        <v>385</v>
      </c>
      <c r="B45" s="26"/>
      <c r="C45" s="31" t="str">
        <f>IF(OR('Summary Op Stmt (Operators)'!$B$20=0,'Summary Op Stmt (Operators)'!$B$20=""),"",B45/'Summary Op Stmt (Operators)'!$B$20)</f>
        <v/>
      </c>
      <c r="D45" s="26"/>
      <c r="E45" s="31" t="str">
        <f>IF(OR('Summary Op Stmt (Operators)'!$D$20=0,'Summary Op Stmt (Operators)'!$D$20=""),"",D45/'Summary Op Stmt (Operators)'!$D$20)</f>
        <v/>
      </c>
      <c r="F45" s="26"/>
      <c r="G45" s="31" t="str">
        <f>IF(OR('Summary Op Stmt (Operators)'!$F$20=0,'Summary Op Stmt (Operators)'!$F$20=""),"",F45/'Summary Op Stmt (Operators)'!$F$20)</f>
        <v/>
      </c>
      <c r="H45" s="26"/>
      <c r="I45" s="31" t="str">
        <f>IF(OR('Summary Op Stmt (Operators)'!$H$20=0,'Summary Op Stmt (Operators)'!$H$20=""),"",H45/'Summary Op Stmt (Operators)'!$H$20)</f>
        <v/>
      </c>
      <c r="J45" s="26"/>
      <c r="K45" s="31" t="str">
        <f>IF(OR('Summary Op Stmt (Operators)'!$J$20=0,'Summary Op Stmt (Operators)'!$J$20=""),"",J45/'Summary Op Stmt (Operators)'!$J$20)</f>
        <v/>
      </c>
      <c r="L45" s="26"/>
      <c r="M45" s="31" t="str">
        <f>IF(OR('Summary Op Stmt (Operators)'!$L$20=0,'Summary Op Stmt (Operators)'!$L$20=""),"",L45/'Summary Op Stmt (Operators)'!$L$20)</f>
        <v/>
      </c>
    </row>
    <row r="46" spans="1:13" x14ac:dyDescent="0.2">
      <c r="A46" s="25" t="s">
        <v>102</v>
      </c>
      <c r="B46" s="26"/>
      <c r="C46" s="31" t="str">
        <f>IF(OR('Summary Op Stmt (Operators)'!$B$20=0,'Summary Op Stmt (Operators)'!$B$20=""),"",B46/'Summary Op Stmt (Operators)'!$B$20)</f>
        <v/>
      </c>
      <c r="D46" s="26"/>
      <c r="E46" s="31" t="str">
        <f>IF(OR('Summary Op Stmt (Operators)'!$D$20=0,'Summary Op Stmt (Operators)'!$D$20=""),"",D46/'Summary Op Stmt (Operators)'!$D$20)</f>
        <v/>
      </c>
      <c r="F46" s="26"/>
      <c r="G46" s="31" t="str">
        <f>IF(OR('Summary Op Stmt (Operators)'!$F$20=0,'Summary Op Stmt (Operators)'!$F$20=""),"",F46/'Summary Op Stmt (Operators)'!$F$20)</f>
        <v/>
      </c>
      <c r="H46" s="26"/>
      <c r="I46" s="31" t="str">
        <f>IF(OR('Summary Op Stmt (Operators)'!$H$20=0,'Summary Op Stmt (Operators)'!$H$20=""),"",H46/'Summary Op Stmt (Operators)'!$H$20)</f>
        <v/>
      </c>
      <c r="J46" s="26"/>
      <c r="K46" s="31" t="str">
        <f>IF(OR('Summary Op Stmt (Operators)'!$J$20=0,'Summary Op Stmt (Operators)'!$J$20=""),"",J46/'Summary Op Stmt (Operators)'!$J$20)</f>
        <v/>
      </c>
      <c r="L46" s="26"/>
      <c r="M46" s="31" t="str">
        <f>IF(OR('Summary Op Stmt (Operators)'!$L$20=0,'Summary Op Stmt (Operators)'!$L$20=""),"",L46/'Summary Op Stmt (Operators)'!$L$20)</f>
        <v/>
      </c>
    </row>
    <row r="47" spans="1:13" x14ac:dyDescent="0.2">
      <c r="A47" s="25" t="s">
        <v>90</v>
      </c>
      <c r="B47" s="26"/>
      <c r="C47" s="31" t="str">
        <f>IF(OR('Summary Op Stmt (Operators)'!$B$20=0,'Summary Op Stmt (Operators)'!$B$20=""),"",B47/'Summary Op Stmt (Operators)'!$B$20)</f>
        <v/>
      </c>
      <c r="D47" s="26"/>
      <c r="E47" s="31" t="str">
        <f>IF(OR('Summary Op Stmt (Operators)'!$D$20=0,'Summary Op Stmt (Operators)'!$D$20=""),"",D47/'Summary Op Stmt (Operators)'!$D$20)</f>
        <v/>
      </c>
      <c r="F47" s="26"/>
      <c r="G47" s="31" t="str">
        <f>IF(OR('Summary Op Stmt (Operators)'!$F$20=0,'Summary Op Stmt (Operators)'!$F$20=""),"",F47/'Summary Op Stmt (Operators)'!$F$20)</f>
        <v/>
      </c>
      <c r="H47" s="26"/>
      <c r="I47" s="31" t="str">
        <f>IF(OR('Summary Op Stmt (Operators)'!$H$20=0,'Summary Op Stmt (Operators)'!$H$20=""),"",H47/'Summary Op Stmt (Operators)'!$H$20)</f>
        <v/>
      </c>
      <c r="J47" s="26"/>
      <c r="K47" s="31" t="str">
        <f>IF(OR('Summary Op Stmt (Operators)'!$J$20=0,'Summary Op Stmt (Operators)'!$J$20=""),"",J47/'Summary Op Stmt (Operators)'!$J$20)</f>
        <v/>
      </c>
      <c r="L47" s="26"/>
      <c r="M47" s="31" t="str">
        <f>IF(OR('Summary Op Stmt (Operators)'!$L$20=0,'Summary Op Stmt (Operators)'!$L$20=""),"",L47/'Summary Op Stmt (Operators)'!$L$20)</f>
        <v/>
      </c>
    </row>
    <row r="48" spans="1:13" x14ac:dyDescent="0.2">
      <c r="A48" s="25" t="s">
        <v>101</v>
      </c>
      <c r="B48" s="26"/>
      <c r="C48" s="31" t="str">
        <f>IF(OR('Summary Op Stmt (Operators)'!$B$20=0,'Summary Op Stmt (Operators)'!$B$20=""),"",B48/'Summary Op Stmt (Operators)'!$B$20)</f>
        <v/>
      </c>
      <c r="D48" s="26"/>
      <c r="E48" s="31" t="str">
        <f>IF(OR('Summary Op Stmt (Operators)'!$D$20=0,'Summary Op Stmt (Operators)'!$D$20=""),"",D48/'Summary Op Stmt (Operators)'!$D$20)</f>
        <v/>
      </c>
      <c r="F48" s="26"/>
      <c r="G48" s="31" t="str">
        <f>IF(OR('Summary Op Stmt (Operators)'!$F$20=0,'Summary Op Stmt (Operators)'!$F$20=""),"",F48/'Summary Op Stmt (Operators)'!$F$20)</f>
        <v/>
      </c>
      <c r="H48" s="26"/>
      <c r="I48" s="31" t="str">
        <f>IF(OR('Summary Op Stmt (Operators)'!$H$20=0,'Summary Op Stmt (Operators)'!$H$20=""),"",H48/'Summary Op Stmt (Operators)'!$H$20)</f>
        <v/>
      </c>
      <c r="J48" s="26"/>
      <c r="K48" s="31" t="str">
        <f>IF(OR('Summary Op Stmt (Operators)'!$J$20=0,'Summary Op Stmt (Operators)'!$J$20=""),"",J48/'Summary Op Stmt (Operators)'!$J$20)</f>
        <v/>
      </c>
      <c r="L48" s="26"/>
      <c r="M48" s="31" t="str">
        <f>IF(OR('Summary Op Stmt (Operators)'!$L$20=0,'Summary Op Stmt (Operators)'!$L$20=""),"",L48/'Summary Op Stmt (Operators)'!$L$20)</f>
        <v/>
      </c>
    </row>
    <row r="49" spans="1:13" x14ac:dyDescent="0.2">
      <c r="A49" s="25" t="s">
        <v>386</v>
      </c>
      <c r="B49" s="26"/>
      <c r="C49" s="31" t="str">
        <f>IF(OR('Summary Op Stmt (Operators)'!$B$20=0,'Summary Op Stmt (Operators)'!$B$20=""),"",B49/'Summary Op Stmt (Operators)'!$B$20)</f>
        <v/>
      </c>
      <c r="D49" s="26"/>
      <c r="E49" s="31" t="str">
        <f>IF(OR('Summary Op Stmt (Operators)'!$D$20=0,'Summary Op Stmt (Operators)'!$D$20=""),"",D49/'Summary Op Stmt (Operators)'!$D$20)</f>
        <v/>
      </c>
      <c r="F49" s="26"/>
      <c r="G49" s="31" t="str">
        <f>IF(OR('Summary Op Stmt (Operators)'!$F$20=0,'Summary Op Stmt (Operators)'!$F$20=""),"",F49/'Summary Op Stmt (Operators)'!$F$20)</f>
        <v/>
      </c>
      <c r="H49" s="26"/>
      <c r="I49" s="31" t="str">
        <f>IF(OR('Summary Op Stmt (Operators)'!$H$20=0,'Summary Op Stmt (Operators)'!$H$20=""),"",H49/'Summary Op Stmt (Operators)'!$H$20)</f>
        <v/>
      </c>
      <c r="J49" s="26"/>
      <c r="K49" s="31" t="str">
        <f>IF(OR('Summary Op Stmt (Operators)'!$J$20=0,'Summary Op Stmt (Operators)'!$J$20=""),"",J49/'Summary Op Stmt (Operators)'!$J$20)</f>
        <v/>
      </c>
      <c r="L49" s="26"/>
      <c r="M49" s="31" t="str">
        <f>IF(OR('Summary Op Stmt (Operators)'!$L$20=0,'Summary Op Stmt (Operators)'!$L$20=""),"",L49/'Summary Op Stmt (Operators)'!$L$20)</f>
        <v/>
      </c>
    </row>
    <row r="50" spans="1:13" x14ac:dyDescent="0.2">
      <c r="A50" s="35" t="s">
        <v>387</v>
      </c>
      <c r="B50" s="36">
        <f>B34+B35+B36+B37+B38+B39+B40+B41+B42+B43+B44+B45+B46+B47+B48+B49</f>
        <v>0</v>
      </c>
      <c r="C50" s="37" t="str">
        <f>IF(OR('Summary Op Stmt (Operators)'!$B$20=0,'Summary Op Stmt (Operators)'!$B$20=""),"",B50/'Summary Op Stmt (Operators)'!$B$20)</f>
        <v/>
      </c>
      <c r="D50" s="36">
        <f>D34+D35+D36+D37+D38+D39+D40+D41+D42+D43+D44+D45+D46+D47+D48+D49</f>
        <v>0</v>
      </c>
      <c r="E50" s="37" t="str">
        <f>IF(OR('Summary Op Stmt (Operators)'!$D$20=0,'Summary Op Stmt (Operators)'!$D$20=""),"",D50/'Summary Op Stmt (Operators)'!$D$20)</f>
        <v/>
      </c>
      <c r="F50" s="36">
        <f>F34+F35+F36+F37+F38+F39+F40+F41+F42+F43+F44+F45+F46+F47+F48+F49</f>
        <v>0</v>
      </c>
      <c r="G50" s="37" t="str">
        <f>IF(OR('Summary Op Stmt (Operators)'!$F$20=0,'Summary Op Stmt (Operators)'!$F$20=""),"",F50/'Summary Op Stmt (Operators)'!$F$20)</f>
        <v/>
      </c>
      <c r="H50" s="36">
        <f>H34+H35+H36+H37+H38+H39+H40+H41+H42+H43+H44+H45+H46+H47+H48+H49</f>
        <v>0</v>
      </c>
      <c r="I50" s="37" t="str">
        <f>IF(OR('Summary Op Stmt (Operators)'!$H$20=0,'Summary Op Stmt (Operators)'!$H$20=""),"",H50/'Summary Op Stmt (Operators)'!$H$20)</f>
        <v/>
      </c>
      <c r="J50" s="36">
        <f>J34+J35+J36+J37+J38+J39+J40+J41+J42+J43+J44+J45+J46+J47+J48+J49</f>
        <v>0</v>
      </c>
      <c r="K50" s="37" t="str">
        <f>IF(OR('Summary Op Stmt (Operators)'!$J$20=0,'Summary Op Stmt (Operators)'!$J$20=""),"",J50/'Summary Op Stmt (Operators)'!$J$20)</f>
        <v/>
      </c>
      <c r="L50" s="36">
        <f>L34+L35+L36+L37+L38+L39+L40+L41+L42+L43+L44+L45+L46+L47+L48+L49</f>
        <v>0</v>
      </c>
      <c r="M50" s="37" t="str">
        <f>IF(OR('Summary Op Stmt (Operators)'!$L$20=0,'Summary Op Stmt (Operators)'!$L$20=""),"",L50/'Summary Op Stmt (Operators)'!$L$20)</f>
        <v/>
      </c>
    </row>
    <row r="51" spans="1:13" x14ac:dyDescent="0.2">
      <c r="A51" s="23" t="s">
        <v>171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spans="1:13" x14ac:dyDescent="0.2">
      <c r="A52" s="25" t="s">
        <v>173</v>
      </c>
      <c r="B52" s="26"/>
      <c r="C52" s="31" t="str">
        <f>IF(OR('Summary Op Stmt (Operators)'!$B$20=0,'Summary Op Stmt (Operators)'!$B$20=""),"",B52/'Summary Op Stmt (Operators)'!$B$20)</f>
        <v/>
      </c>
      <c r="D52" s="26"/>
      <c r="E52" s="31" t="str">
        <f>IF(OR('Summary Op Stmt (Operators)'!$D$20=0,'Summary Op Stmt (Operators)'!$D$20=""),"",D52/'Summary Op Stmt (Operators)'!$D$20)</f>
        <v/>
      </c>
      <c r="F52" s="26"/>
      <c r="G52" s="31" t="str">
        <f>IF(OR('Summary Op Stmt (Operators)'!$F$20=0,'Summary Op Stmt (Operators)'!$F$20=""),"",F52/'Summary Op Stmt (Operators)'!$F$20)</f>
        <v/>
      </c>
      <c r="H52" s="26"/>
      <c r="I52" s="31" t="str">
        <f>IF(OR('Summary Op Stmt (Operators)'!$H$20=0,'Summary Op Stmt (Operators)'!$H$20=""),"",H52/'Summary Op Stmt (Operators)'!$H$20)</f>
        <v/>
      </c>
      <c r="J52" s="26"/>
      <c r="K52" s="31" t="str">
        <f>IF(OR('Summary Op Stmt (Operators)'!$J$20=0,'Summary Op Stmt (Operators)'!$J$20=""),"",J52/'Summary Op Stmt (Operators)'!$J$20)</f>
        <v/>
      </c>
      <c r="L52" s="26"/>
      <c r="M52" s="31" t="str">
        <f>IF(OR('Summary Op Stmt (Operators)'!$L$20=0,'Summary Op Stmt (Operators)'!$L$20=""),"",L52/'Summary Op Stmt (Operators)'!$L$20)</f>
        <v/>
      </c>
    </row>
    <row r="53" spans="1:13" x14ac:dyDescent="0.2">
      <c r="A53" s="25" t="s">
        <v>179</v>
      </c>
      <c r="B53" s="26"/>
      <c r="C53" s="31" t="str">
        <f>IF(OR('Summary Op Stmt (Operators)'!$B$20=0,'Summary Op Stmt (Operators)'!$B$20=""),"",B53/'Summary Op Stmt (Operators)'!$B$20)</f>
        <v/>
      </c>
      <c r="D53" s="26"/>
      <c r="E53" s="31" t="str">
        <f>IF(OR('Summary Op Stmt (Operators)'!$D$20=0,'Summary Op Stmt (Operators)'!$D$20=""),"",D53/'Summary Op Stmt (Operators)'!$D$20)</f>
        <v/>
      </c>
      <c r="F53" s="26"/>
      <c r="G53" s="31" t="str">
        <f>IF(OR('Summary Op Stmt (Operators)'!$F$20=0,'Summary Op Stmt (Operators)'!$F$20=""),"",F53/'Summary Op Stmt (Operators)'!$F$20)</f>
        <v/>
      </c>
      <c r="H53" s="26"/>
      <c r="I53" s="31" t="str">
        <f>IF(OR('Summary Op Stmt (Operators)'!$H$20=0,'Summary Op Stmt (Operators)'!$H$20=""),"",H53/'Summary Op Stmt (Operators)'!$H$20)</f>
        <v/>
      </c>
      <c r="J53" s="26"/>
      <c r="K53" s="31" t="str">
        <f>IF(OR('Summary Op Stmt (Operators)'!$J$20=0,'Summary Op Stmt (Operators)'!$J$20=""),"",J53/'Summary Op Stmt (Operators)'!$J$20)</f>
        <v/>
      </c>
      <c r="L53" s="26"/>
      <c r="M53" s="31" t="str">
        <f>IF(OR('Summary Op Stmt (Operators)'!$L$20=0,'Summary Op Stmt (Operators)'!$L$20=""),"",L53/'Summary Op Stmt (Operators)'!$L$20)</f>
        <v/>
      </c>
    </row>
    <row r="54" spans="1:13" x14ac:dyDescent="0.2">
      <c r="A54" s="25" t="s">
        <v>180</v>
      </c>
      <c r="B54" s="26"/>
      <c r="C54" s="31" t="str">
        <f>IF(OR('Summary Op Stmt (Operators)'!$B$20=0,'Summary Op Stmt (Operators)'!$B$20=""),"",B54/'Summary Op Stmt (Operators)'!$B$20)</f>
        <v/>
      </c>
      <c r="D54" s="26"/>
      <c r="E54" s="31" t="str">
        <f>IF(OR('Summary Op Stmt (Operators)'!$D$20=0,'Summary Op Stmt (Operators)'!$D$20=""),"",D54/'Summary Op Stmt (Operators)'!$D$20)</f>
        <v/>
      </c>
      <c r="F54" s="26"/>
      <c r="G54" s="31" t="str">
        <f>IF(OR('Summary Op Stmt (Operators)'!$F$20=0,'Summary Op Stmt (Operators)'!$F$20=""),"",F54/'Summary Op Stmt (Operators)'!$F$20)</f>
        <v/>
      </c>
      <c r="H54" s="26"/>
      <c r="I54" s="31" t="str">
        <f>IF(OR('Summary Op Stmt (Operators)'!$H$20=0,'Summary Op Stmt (Operators)'!$H$20=""),"",H54/'Summary Op Stmt (Operators)'!$H$20)</f>
        <v/>
      </c>
      <c r="J54" s="26"/>
      <c r="K54" s="31" t="str">
        <f>IF(OR('Summary Op Stmt (Operators)'!$J$20=0,'Summary Op Stmt (Operators)'!$J$20=""),"",J54/'Summary Op Stmt (Operators)'!$J$20)</f>
        <v/>
      </c>
      <c r="L54" s="26"/>
      <c r="M54" s="31" t="str">
        <f>IF(OR('Summary Op Stmt (Operators)'!$L$20=0,'Summary Op Stmt (Operators)'!$L$20=""),"",L54/'Summary Op Stmt (Operators)'!$L$20)</f>
        <v/>
      </c>
    </row>
    <row r="55" spans="1:13" x14ac:dyDescent="0.2">
      <c r="A55" s="25" t="s">
        <v>182</v>
      </c>
      <c r="B55" s="26"/>
      <c r="C55" s="31" t="str">
        <f>IF(OR('Summary Op Stmt (Operators)'!$B$20=0,'Summary Op Stmt (Operators)'!$B$20=""),"",B55/'Summary Op Stmt (Operators)'!$B$20)</f>
        <v/>
      </c>
      <c r="D55" s="26"/>
      <c r="E55" s="31" t="str">
        <f>IF(OR('Summary Op Stmt (Operators)'!$D$20=0,'Summary Op Stmt (Operators)'!$D$20=""),"",D55/'Summary Op Stmt (Operators)'!$D$20)</f>
        <v/>
      </c>
      <c r="F55" s="26"/>
      <c r="G55" s="31" t="str">
        <f>IF(OR('Summary Op Stmt (Operators)'!$F$20=0,'Summary Op Stmt (Operators)'!$F$20=""),"",F55/'Summary Op Stmt (Operators)'!$F$20)</f>
        <v/>
      </c>
      <c r="H55" s="26"/>
      <c r="I55" s="31" t="str">
        <f>IF(OR('Summary Op Stmt (Operators)'!$H$20=0,'Summary Op Stmt (Operators)'!$H$20=""),"",H55/'Summary Op Stmt (Operators)'!$H$20)</f>
        <v/>
      </c>
      <c r="J55" s="26"/>
      <c r="K55" s="31" t="str">
        <f>IF(OR('Summary Op Stmt (Operators)'!$J$20=0,'Summary Op Stmt (Operators)'!$J$20=""),"",J55/'Summary Op Stmt (Operators)'!$J$20)</f>
        <v/>
      </c>
      <c r="L55" s="26"/>
      <c r="M55" s="31" t="str">
        <f>IF(OR('Summary Op Stmt (Operators)'!$L$20=0,'Summary Op Stmt (Operators)'!$L$20=""),"",L55/'Summary Op Stmt (Operators)'!$L$20)</f>
        <v/>
      </c>
    </row>
    <row r="56" spans="1:13" x14ac:dyDescent="0.2">
      <c r="A56" s="25" t="s">
        <v>183</v>
      </c>
      <c r="B56" s="26"/>
      <c r="C56" s="31" t="str">
        <f>IF(OR('Summary Op Stmt (Operators)'!$B$20=0,'Summary Op Stmt (Operators)'!$B$20=""),"",B56/'Summary Op Stmt (Operators)'!$B$20)</f>
        <v/>
      </c>
      <c r="D56" s="26"/>
      <c r="E56" s="31" t="str">
        <f>IF(OR('Summary Op Stmt (Operators)'!$D$20=0,'Summary Op Stmt (Operators)'!$D$20=""),"",D56/'Summary Op Stmt (Operators)'!$D$20)</f>
        <v/>
      </c>
      <c r="F56" s="26"/>
      <c r="G56" s="31" t="str">
        <f>IF(OR('Summary Op Stmt (Operators)'!$F$20=0,'Summary Op Stmt (Operators)'!$F$20=""),"",F56/'Summary Op Stmt (Operators)'!$F$20)</f>
        <v/>
      </c>
      <c r="H56" s="26"/>
      <c r="I56" s="31" t="str">
        <f>IF(OR('Summary Op Stmt (Operators)'!$H$20=0,'Summary Op Stmt (Operators)'!$H$20=""),"",H56/'Summary Op Stmt (Operators)'!$H$20)</f>
        <v/>
      </c>
      <c r="J56" s="26"/>
      <c r="K56" s="31" t="str">
        <f>IF(OR('Summary Op Stmt (Operators)'!$J$20=0,'Summary Op Stmt (Operators)'!$J$20=""),"",J56/'Summary Op Stmt (Operators)'!$J$20)</f>
        <v/>
      </c>
      <c r="L56" s="26"/>
      <c r="M56" s="31" t="str">
        <f>IF(OR('Summary Op Stmt (Operators)'!$L$20=0,'Summary Op Stmt (Operators)'!$L$20=""),"",L56/'Summary Op Stmt (Operators)'!$L$20)</f>
        <v/>
      </c>
    </row>
    <row r="57" spans="1:13" x14ac:dyDescent="0.2">
      <c r="A57" s="25" t="s">
        <v>184</v>
      </c>
      <c r="B57" s="26"/>
      <c r="C57" s="31" t="str">
        <f>IF(OR('Summary Op Stmt (Operators)'!$B$20=0,'Summary Op Stmt (Operators)'!$B$20=""),"",B57/'Summary Op Stmt (Operators)'!$B$20)</f>
        <v/>
      </c>
      <c r="D57" s="26"/>
      <c r="E57" s="31" t="str">
        <f>IF(OR('Summary Op Stmt (Operators)'!$D$20=0,'Summary Op Stmt (Operators)'!$D$20=""),"",D57/'Summary Op Stmt (Operators)'!$D$20)</f>
        <v/>
      </c>
      <c r="F57" s="26"/>
      <c r="G57" s="31" t="str">
        <f>IF(OR('Summary Op Stmt (Operators)'!$F$20=0,'Summary Op Stmt (Operators)'!$F$20=""),"",F57/'Summary Op Stmt (Operators)'!$F$20)</f>
        <v/>
      </c>
      <c r="H57" s="26"/>
      <c r="I57" s="31" t="str">
        <f>IF(OR('Summary Op Stmt (Operators)'!$H$20=0,'Summary Op Stmt (Operators)'!$H$20=""),"",H57/'Summary Op Stmt (Operators)'!$H$20)</f>
        <v/>
      </c>
      <c r="J57" s="26"/>
      <c r="K57" s="31" t="str">
        <f>IF(OR('Summary Op Stmt (Operators)'!$J$20=0,'Summary Op Stmt (Operators)'!$J$20=""),"",J57/'Summary Op Stmt (Operators)'!$J$20)</f>
        <v/>
      </c>
      <c r="L57" s="26"/>
      <c r="M57" s="31" t="str">
        <f>IF(OR('Summary Op Stmt (Operators)'!$L$20=0,'Summary Op Stmt (Operators)'!$L$20=""),"",L57/'Summary Op Stmt (Operators)'!$L$20)</f>
        <v/>
      </c>
    </row>
    <row r="58" spans="1:13" x14ac:dyDescent="0.2">
      <c r="A58" s="25" t="s">
        <v>191</v>
      </c>
      <c r="B58" s="26"/>
      <c r="C58" s="31" t="str">
        <f>IF(OR('Summary Op Stmt (Operators)'!$B$20=0,'Summary Op Stmt (Operators)'!$B$20=""),"",B58/'Summary Op Stmt (Operators)'!$B$20)</f>
        <v/>
      </c>
      <c r="D58" s="26"/>
      <c r="E58" s="31" t="str">
        <f>IF(OR('Summary Op Stmt (Operators)'!$D$20=0,'Summary Op Stmt (Operators)'!$D$20=""),"",D58/'Summary Op Stmt (Operators)'!$D$20)</f>
        <v/>
      </c>
      <c r="F58" s="26"/>
      <c r="G58" s="31" t="str">
        <f>IF(OR('Summary Op Stmt (Operators)'!$F$20=0,'Summary Op Stmt (Operators)'!$F$20=""),"",F58/'Summary Op Stmt (Operators)'!$F$20)</f>
        <v/>
      </c>
      <c r="H58" s="26"/>
      <c r="I58" s="31" t="str">
        <f>IF(OR('Summary Op Stmt (Operators)'!$H$20=0,'Summary Op Stmt (Operators)'!$H$20=""),"",H58/'Summary Op Stmt (Operators)'!$H$20)</f>
        <v/>
      </c>
      <c r="J58" s="26"/>
      <c r="K58" s="31" t="str">
        <f>IF(OR('Summary Op Stmt (Operators)'!$J$20=0,'Summary Op Stmt (Operators)'!$J$20=""),"",J58/'Summary Op Stmt (Operators)'!$J$20)</f>
        <v/>
      </c>
      <c r="L58" s="26"/>
      <c r="M58" s="31" t="str">
        <f>IF(OR('Summary Op Stmt (Operators)'!$L$20=0,'Summary Op Stmt (Operators)'!$L$20=""),"",L58/'Summary Op Stmt (Operators)'!$L$20)</f>
        <v/>
      </c>
    </row>
    <row r="59" spans="1:13" x14ac:dyDescent="0.2">
      <c r="A59" s="25" t="s">
        <v>192</v>
      </c>
      <c r="B59" s="26"/>
      <c r="C59" s="31" t="str">
        <f>IF(OR('Summary Op Stmt (Operators)'!$B$20=0,'Summary Op Stmt (Operators)'!$B$20=""),"",B59/'Summary Op Stmt (Operators)'!$B$20)</f>
        <v/>
      </c>
      <c r="D59" s="26"/>
      <c r="E59" s="31" t="str">
        <f>IF(OR('Summary Op Stmt (Operators)'!$D$20=0,'Summary Op Stmt (Operators)'!$D$20=""),"",D59/'Summary Op Stmt (Operators)'!$D$20)</f>
        <v/>
      </c>
      <c r="F59" s="26"/>
      <c r="G59" s="31" t="str">
        <f>IF(OR('Summary Op Stmt (Operators)'!$F$20=0,'Summary Op Stmt (Operators)'!$F$20=""),"",F59/'Summary Op Stmt (Operators)'!$F$20)</f>
        <v/>
      </c>
      <c r="H59" s="26"/>
      <c r="I59" s="31" t="str">
        <f>IF(OR('Summary Op Stmt (Operators)'!$H$20=0,'Summary Op Stmt (Operators)'!$H$20=""),"",H59/'Summary Op Stmt (Operators)'!$H$20)</f>
        <v/>
      </c>
      <c r="J59" s="26"/>
      <c r="K59" s="31" t="str">
        <f>IF(OR('Summary Op Stmt (Operators)'!$J$20=0,'Summary Op Stmt (Operators)'!$J$20=""),"",J59/'Summary Op Stmt (Operators)'!$J$20)</f>
        <v/>
      </c>
      <c r="L59" s="26"/>
      <c r="M59" s="31" t="str">
        <f>IF(OR('Summary Op Stmt (Operators)'!$L$20=0,'Summary Op Stmt (Operators)'!$L$20=""),"",L59/'Summary Op Stmt (Operators)'!$L$20)</f>
        <v/>
      </c>
    </row>
    <row r="60" spans="1:13" x14ac:dyDescent="0.2">
      <c r="A60" s="25" t="s">
        <v>388</v>
      </c>
      <c r="B60" s="26"/>
      <c r="C60" s="31" t="str">
        <f>IF(OR('Summary Op Stmt (Operators)'!$B$20=0,'Summary Op Stmt (Operators)'!$B$20=""),"",B60/'Summary Op Stmt (Operators)'!$B$20)</f>
        <v/>
      </c>
      <c r="D60" s="26"/>
      <c r="E60" s="31" t="str">
        <f>IF(OR('Summary Op Stmt (Operators)'!$D$20=0,'Summary Op Stmt (Operators)'!$D$20=""),"",D60/'Summary Op Stmt (Operators)'!$D$20)</f>
        <v/>
      </c>
      <c r="F60" s="26"/>
      <c r="G60" s="31" t="str">
        <f>IF(OR('Summary Op Stmt (Operators)'!$F$20=0,'Summary Op Stmt (Operators)'!$F$20=""),"",F60/'Summary Op Stmt (Operators)'!$F$20)</f>
        <v/>
      </c>
      <c r="H60" s="26"/>
      <c r="I60" s="31" t="str">
        <f>IF(OR('Summary Op Stmt (Operators)'!$H$20=0,'Summary Op Stmt (Operators)'!$H$20=""),"",H60/'Summary Op Stmt (Operators)'!$H$20)</f>
        <v/>
      </c>
      <c r="J60" s="26"/>
      <c r="K60" s="31" t="str">
        <f>IF(OR('Summary Op Stmt (Operators)'!$J$20=0,'Summary Op Stmt (Operators)'!$J$20=""),"",J60/'Summary Op Stmt (Operators)'!$J$20)</f>
        <v/>
      </c>
      <c r="L60" s="26"/>
      <c r="M60" s="31" t="str">
        <f>IF(OR('Summary Op Stmt (Operators)'!$L$20=0,'Summary Op Stmt (Operators)'!$L$20=""),"",L60/'Summary Op Stmt (Operators)'!$L$20)</f>
        <v/>
      </c>
    </row>
    <row r="61" spans="1:13" x14ac:dyDescent="0.2">
      <c r="A61" s="25" t="s">
        <v>389</v>
      </c>
      <c r="B61" s="26"/>
      <c r="C61" s="31" t="str">
        <f>IF(OR('Summary Op Stmt (Operators)'!$B$20=0,'Summary Op Stmt (Operators)'!$B$20=""),"",B61/'Summary Op Stmt (Operators)'!$B$20)</f>
        <v/>
      </c>
      <c r="D61" s="26"/>
      <c r="E61" s="31" t="str">
        <f>IF(OR('Summary Op Stmt (Operators)'!$D$20=0,'Summary Op Stmt (Operators)'!$D$20=""),"",D61/'Summary Op Stmt (Operators)'!$D$20)</f>
        <v/>
      </c>
      <c r="F61" s="26"/>
      <c r="G61" s="31" t="str">
        <f>IF(OR('Summary Op Stmt (Operators)'!$F$20=0,'Summary Op Stmt (Operators)'!$F$20=""),"",F61/'Summary Op Stmt (Operators)'!$F$20)</f>
        <v/>
      </c>
      <c r="H61" s="26"/>
      <c r="I61" s="31" t="str">
        <f>IF(OR('Summary Op Stmt (Operators)'!$H$20=0,'Summary Op Stmt (Operators)'!$H$20=""),"",H61/'Summary Op Stmt (Operators)'!$H$20)</f>
        <v/>
      </c>
      <c r="J61" s="26"/>
      <c r="K61" s="31" t="str">
        <f>IF(OR('Summary Op Stmt (Operators)'!$J$20=0,'Summary Op Stmt (Operators)'!$J$20=""),"",J61/'Summary Op Stmt (Operators)'!$J$20)</f>
        <v/>
      </c>
      <c r="L61" s="26"/>
      <c r="M61" s="31" t="str">
        <f>IF(OR('Summary Op Stmt (Operators)'!$L$20=0,'Summary Op Stmt (Operators)'!$L$20=""),"",L61/'Summary Op Stmt (Operators)'!$L$20)</f>
        <v/>
      </c>
    </row>
    <row r="62" spans="1:13" x14ac:dyDescent="0.2">
      <c r="A62" s="25" t="s">
        <v>197</v>
      </c>
      <c r="B62" s="26"/>
      <c r="C62" s="31" t="str">
        <f>IF(OR('Summary Op Stmt (Operators)'!$B$20=0,'Summary Op Stmt (Operators)'!$B$20=""),"",B62/'Summary Op Stmt (Operators)'!$B$20)</f>
        <v/>
      </c>
      <c r="D62" s="26"/>
      <c r="E62" s="31" t="str">
        <f>IF(OR('Summary Op Stmt (Operators)'!$D$20=0,'Summary Op Stmt (Operators)'!$D$20=""),"",D62/'Summary Op Stmt (Operators)'!$D$20)</f>
        <v/>
      </c>
      <c r="F62" s="26"/>
      <c r="G62" s="31" t="str">
        <f>IF(OR('Summary Op Stmt (Operators)'!$F$20=0,'Summary Op Stmt (Operators)'!$F$20=""),"",F62/'Summary Op Stmt (Operators)'!$F$20)</f>
        <v/>
      </c>
      <c r="H62" s="26"/>
      <c r="I62" s="31" t="str">
        <f>IF(OR('Summary Op Stmt (Operators)'!$H$20=0,'Summary Op Stmt (Operators)'!$H$20=""),"",H62/'Summary Op Stmt (Operators)'!$H$20)</f>
        <v/>
      </c>
      <c r="J62" s="26"/>
      <c r="K62" s="31" t="str">
        <f>IF(OR('Summary Op Stmt (Operators)'!$J$20=0,'Summary Op Stmt (Operators)'!$J$20=""),"",J62/'Summary Op Stmt (Operators)'!$J$20)</f>
        <v/>
      </c>
      <c r="L62" s="26"/>
      <c r="M62" s="31" t="str">
        <f>IF(OR('Summary Op Stmt (Operators)'!$L$20=0,'Summary Op Stmt (Operators)'!$L$20=""),"",L62/'Summary Op Stmt (Operators)'!$L$20)</f>
        <v/>
      </c>
    </row>
    <row r="63" spans="1:13" x14ac:dyDescent="0.2">
      <c r="A63" s="25" t="s">
        <v>198</v>
      </c>
      <c r="B63" s="26"/>
      <c r="C63" s="31" t="str">
        <f>IF(OR('Summary Op Stmt (Operators)'!$B$20=0,'Summary Op Stmt (Operators)'!$B$20=""),"",B63/'Summary Op Stmt (Operators)'!$B$20)</f>
        <v/>
      </c>
      <c r="D63" s="26"/>
      <c r="E63" s="31" t="str">
        <f>IF(OR('Summary Op Stmt (Operators)'!$D$20=0,'Summary Op Stmt (Operators)'!$D$20=""),"",D63/'Summary Op Stmt (Operators)'!$D$20)</f>
        <v/>
      </c>
      <c r="F63" s="26"/>
      <c r="G63" s="31" t="str">
        <f>IF(OR('Summary Op Stmt (Operators)'!$F$20=0,'Summary Op Stmt (Operators)'!$F$20=""),"",F63/'Summary Op Stmt (Operators)'!$F$20)</f>
        <v/>
      </c>
      <c r="H63" s="26"/>
      <c r="I63" s="31" t="str">
        <f>IF(OR('Summary Op Stmt (Operators)'!$H$20=0,'Summary Op Stmt (Operators)'!$H$20=""),"",H63/'Summary Op Stmt (Operators)'!$H$20)</f>
        <v/>
      </c>
      <c r="J63" s="26"/>
      <c r="K63" s="31" t="str">
        <f>IF(OR('Summary Op Stmt (Operators)'!$J$20=0,'Summary Op Stmt (Operators)'!$J$20=""),"",J63/'Summary Op Stmt (Operators)'!$J$20)</f>
        <v/>
      </c>
      <c r="L63" s="26"/>
      <c r="M63" s="31" t="str">
        <f>IF(OR('Summary Op Stmt (Operators)'!$L$20=0,'Summary Op Stmt (Operators)'!$L$20=""),"",L63/'Summary Op Stmt (Operators)'!$L$20)</f>
        <v/>
      </c>
    </row>
    <row r="64" spans="1:13" x14ac:dyDescent="0.2">
      <c r="A64" s="25" t="s">
        <v>199</v>
      </c>
      <c r="B64" s="26"/>
      <c r="C64" s="31" t="str">
        <f>IF(OR('Summary Op Stmt (Operators)'!$B$20=0,'Summary Op Stmt (Operators)'!$B$20=""),"",B64/'Summary Op Stmt (Operators)'!$B$20)</f>
        <v/>
      </c>
      <c r="D64" s="26"/>
      <c r="E64" s="31" t="str">
        <f>IF(OR('Summary Op Stmt (Operators)'!$D$20=0,'Summary Op Stmt (Operators)'!$D$20=""),"",D64/'Summary Op Stmt (Operators)'!$D$20)</f>
        <v/>
      </c>
      <c r="F64" s="26"/>
      <c r="G64" s="31" t="str">
        <f>IF(OR('Summary Op Stmt (Operators)'!$F$20=0,'Summary Op Stmt (Operators)'!$F$20=""),"",F64/'Summary Op Stmt (Operators)'!$F$20)</f>
        <v/>
      </c>
      <c r="H64" s="26"/>
      <c r="I64" s="31" t="str">
        <f>IF(OR('Summary Op Stmt (Operators)'!$H$20=0,'Summary Op Stmt (Operators)'!$H$20=""),"",H64/'Summary Op Stmt (Operators)'!$H$20)</f>
        <v/>
      </c>
      <c r="J64" s="26"/>
      <c r="K64" s="31" t="str">
        <f>IF(OR('Summary Op Stmt (Operators)'!$J$20=0,'Summary Op Stmt (Operators)'!$J$20=""),"",J64/'Summary Op Stmt (Operators)'!$J$20)</f>
        <v/>
      </c>
      <c r="L64" s="26"/>
      <c r="M64" s="31" t="str">
        <f>IF(OR('Summary Op Stmt (Operators)'!$L$20=0,'Summary Op Stmt (Operators)'!$L$20=""),"",L64/'Summary Op Stmt (Operators)'!$L$20)</f>
        <v/>
      </c>
    </row>
    <row r="65" spans="1:13" x14ac:dyDescent="0.2">
      <c r="A65" s="25" t="s">
        <v>200</v>
      </c>
      <c r="B65" s="26"/>
      <c r="C65" s="31" t="str">
        <f>IF(OR('Summary Op Stmt (Operators)'!$B$20=0,'Summary Op Stmt (Operators)'!$B$20=""),"",B65/'Summary Op Stmt (Operators)'!$B$20)</f>
        <v/>
      </c>
      <c r="D65" s="26"/>
      <c r="E65" s="31" t="str">
        <f>IF(OR('Summary Op Stmt (Operators)'!$D$20=0,'Summary Op Stmt (Operators)'!$D$20=""),"",D65/'Summary Op Stmt (Operators)'!$D$20)</f>
        <v/>
      </c>
      <c r="F65" s="26"/>
      <c r="G65" s="31" t="str">
        <f>IF(OR('Summary Op Stmt (Operators)'!$F$20=0,'Summary Op Stmt (Operators)'!$F$20=""),"",F65/'Summary Op Stmt (Operators)'!$F$20)</f>
        <v/>
      </c>
      <c r="H65" s="26"/>
      <c r="I65" s="31" t="str">
        <f>IF(OR('Summary Op Stmt (Operators)'!$H$20=0,'Summary Op Stmt (Operators)'!$H$20=""),"",H65/'Summary Op Stmt (Operators)'!$H$20)</f>
        <v/>
      </c>
      <c r="J65" s="26"/>
      <c r="K65" s="31" t="str">
        <f>IF(OR('Summary Op Stmt (Operators)'!$J$20=0,'Summary Op Stmt (Operators)'!$J$20=""),"",J65/'Summary Op Stmt (Operators)'!$J$20)</f>
        <v/>
      </c>
      <c r="L65" s="26"/>
      <c r="M65" s="31" t="str">
        <f>IF(OR('Summary Op Stmt (Operators)'!$L$20=0,'Summary Op Stmt (Operators)'!$L$20=""),"",L65/'Summary Op Stmt (Operators)'!$L$20)</f>
        <v/>
      </c>
    </row>
    <row r="66" spans="1:13" x14ac:dyDescent="0.2">
      <c r="A66" s="25" t="s">
        <v>201</v>
      </c>
      <c r="B66" s="26"/>
      <c r="C66" s="31" t="str">
        <f>IF(OR('Summary Op Stmt (Operators)'!$B$20=0,'Summary Op Stmt (Operators)'!$B$20=""),"",B66/'Summary Op Stmt (Operators)'!$B$20)</f>
        <v/>
      </c>
      <c r="D66" s="26"/>
      <c r="E66" s="31" t="str">
        <f>IF(OR('Summary Op Stmt (Operators)'!$D$20=0,'Summary Op Stmt (Operators)'!$D$20=""),"",D66/'Summary Op Stmt (Operators)'!$D$20)</f>
        <v/>
      </c>
      <c r="F66" s="26"/>
      <c r="G66" s="31" t="str">
        <f>IF(OR('Summary Op Stmt (Operators)'!$F$20=0,'Summary Op Stmt (Operators)'!$F$20=""),"",F66/'Summary Op Stmt (Operators)'!$F$20)</f>
        <v/>
      </c>
      <c r="H66" s="26"/>
      <c r="I66" s="31" t="str">
        <f>IF(OR('Summary Op Stmt (Operators)'!$H$20=0,'Summary Op Stmt (Operators)'!$H$20=""),"",H66/'Summary Op Stmt (Operators)'!$H$20)</f>
        <v/>
      </c>
      <c r="J66" s="26"/>
      <c r="K66" s="31" t="str">
        <f>IF(OR('Summary Op Stmt (Operators)'!$J$20=0,'Summary Op Stmt (Operators)'!$J$20=""),"",J66/'Summary Op Stmt (Operators)'!$J$20)</f>
        <v/>
      </c>
      <c r="L66" s="26"/>
      <c r="M66" s="31" t="str">
        <f>IF(OR('Summary Op Stmt (Operators)'!$L$20=0,'Summary Op Stmt (Operators)'!$L$20=""),"",L66/'Summary Op Stmt (Operators)'!$L$20)</f>
        <v/>
      </c>
    </row>
    <row r="67" spans="1:13" x14ac:dyDescent="0.2">
      <c r="A67" s="35" t="s">
        <v>202</v>
      </c>
      <c r="B67" s="36">
        <f>B52+B53+B54+B55+B56+B57+B58+B59+B60+B61+B62+B63+B64+B65+B66</f>
        <v>0</v>
      </c>
      <c r="C67" s="37" t="str">
        <f>IF(OR('Summary Op Stmt (Operators)'!$B$20=0,'Summary Op Stmt (Operators)'!$B$20=""),"",B67/'Summary Op Stmt (Operators)'!$B$20)</f>
        <v/>
      </c>
      <c r="D67" s="36">
        <f>D52+D53+D54+D55+D56+D57+D58+D59+D60+D61+D62+D63+D64+D65+D66</f>
        <v>0</v>
      </c>
      <c r="E67" s="37" t="str">
        <f>IF(OR('Summary Op Stmt (Operators)'!$D$20=0,'Summary Op Stmt (Operators)'!$D$20=""),"",D67/'Summary Op Stmt (Operators)'!$D$20)</f>
        <v/>
      </c>
      <c r="F67" s="36">
        <f>F52+F53+F54+F55+F56+F57+F58+F59+F60+F61+F62+F63+F64+F65+F66</f>
        <v>0</v>
      </c>
      <c r="G67" s="37" t="str">
        <f>IF(OR('Summary Op Stmt (Operators)'!$F$20=0,'Summary Op Stmt (Operators)'!$F$20=""),"",F67/'Summary Op Stmt (Operators)'!$F$20)</f>
        <v/>
      </c>
      <c r="H67" s="36">
        <f>H52+H53+H54+H55+H56+H57+H58+H59+H60+H61+H62+H63+H64+H65+H66</f>
        <v>0</v>
      </c>
      <c r="I67" s="37" t="str">
        <f>IF(OR('Summary Op Stmt (Operators)'!$H$20=0,'Summary Op Stmt (Operators)'!$H$20=""),"",H67/'Summary Op Stmt (Operators)'!$H$20)</f>
        <v/>
      </c>
      <c r="J67" s="36">
        <f>J52+J53+J54+J55+J56+J57+J58+J59+J60+J61+J62+J63+J64+J65+J66</f>
        <v>0</v>
      </c>
      <c r="K67" s="37" t="str">
        <f>IF(OR('Summary Op Stmt (Operators)'!$J$20=0,'Summary Op Stmt (Operators)'!$J$20=""),"",J67/'Summary Op Stmt (Operators)'!$J$20)</f>
        <v/>
      </c>
      <c r="L67" s="36">
        <f>L52+L53+L54+L55+L56+L57+L58+L59+L60+L61+L62+L63+L64+L65+L66</f>
        <v>0</v>
      </c>
      <c r="M67" s="37" t="str">
        <f>IF(OR('Summary Op Stmt (Operators)'!$L$20=0,'Summary Op Stmt (Operators)'!$L$20=""),"",L67/'Summary Op Stmt (Operators)'!$L$20)</f>
        <v/>
      </c>
    </row>
    <row r="68" spans="1:13" x14ac:dyDescent="0.2">
      <c r="A68" s="38" t="s">
        <v>203</v>
      </c>
      <c r="B68" s="39">
        <f>B25+B32+B50+B67</f>
        <v>0</v>
      </c>
      <c r="C68" s="40" t="str">
        <f>IF(OR('Summary Op Stmt (Operators)'!$B$20=0,'Summary Op Stmt (Operators)'!$B$20=""),"",B68/'Summary Op Stmt (Operators)'!$B$20)</f>
        <v/>
      </c>
      <c r="D68" s="39">
        <f>D25+D32+D50+D67</f>
        <v>0</v>
      </c>
      <c r="E68" s="40" t="str">
        <f>IF(OR('Summary Op Stmt (Operators)'!$D$20=0,'Summary Op Stmt (Operators)'!$D$20=""),"",D68/'Summary Op Stmt (Operators)'!$D$20)</f>
        <v/>
      </c>
      <c r="F68" s="39">
        <f>F25+F32+F50+F67</f>
        <v>0</v>
      </c>
      <c r="G68" s="40" t="str">
        <f>IF(OR('Summary Op Stmt (Operators)'!$F$20=0,'Summary Op Stmt (Operators)'!$F$20=""),"",F68/'Summary Op Stmt (Operators)'!$F$20)</f>
        <v/>
      </c>
      <c r="H68" s="39">
        <f>H25+H32+H50+H67</f>
        <v>0</v>
      </c>
      <c r="I68" s="40" t="str">
        <f>IF(OR('Summary Op Stmt (Operators)'!$H$20=0,'Summary Op Stmt (Operators)'!$H$20=""),"",H68/'Summary Op Stmt (Operators)'!$H$20)</f>
        <v/>
      </c>
      <c r="J68" s="39">
        <f>J25+J32+J50+J67</f>
        <v>0</v>
      </c>
      <c r="K68" s="40" t="str">
        <f>IF(OR('Summary Op Stmt (Operators)'!$J$20=0,'Summary Op Stmt (Operators)'!$J$20=""),"",J68/'Summary Op Stmt (Operators)'!$J$20)</f>
        <v/>
      </c>
      <c r="L68" s="39">
        <f>L25+L32+L50+L67</f>
        <v>0</v>
      </c>
      <c r="M68" s="40" t="str">
        <f>IF(OR('Summary Op Stmt (Operators)'!$L$20=0,'Summary Op Stmt (Operators)'!$L$20=""),"",L68/'Summary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3864"/>
  </sheetPr>
  <dimension ref="A1:M57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148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3" t="s">
        <v>149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">
      <c r="A9" s="23" t="s">
        <v>150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">
      <c r="A10" s="23" t="s">
        <v>151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">
      <c r="A11" s="25" t="s">
        <v>152</v>
      </c>
      <c r="B11" s="26"/>
      <c r="D11" s="26"/>
      <c r="F11" s="26"/>
      <c r="H11" s="26"/>
      <c r="J11" s="26"/>
      <c r="L11" s="26"/>
    </row>
    <row r="12" spans="1:13" x14ac:dyDescent="0.2">
      <c r="A12" s="25" t="s">
        <v>153</v>
      </c>
      <c r="B12" s="26"/>
      <c r="D12" s="26"/>
      <c r="F12" s="26"/>
      <c r="H12" s="26"/>
      <c r="J12" s="26"/>
      <c r="L12" s="26"/>
    </row>
    <row r="13" spans="1:13" x14ac:dyDescent="0.2">
      <c r="A13" s="35" t="s">
        <v>160</v>
      </c>
      <c r="B13" s="36">
        <f>B11+B12</f>
        <v>0</v>
      </c>
      <c r="C13" s="41"/>
      <c r="D13" s="36">
        <f>D11+D12</f>
        <v>0</v>
      </c>
      <c r="E13" s="41"/>
      <c r="F13" s="36">
        <f>F11+F12</f>
        <v>0</v>
      </c>
      <c r="G13" s="41"/>
      <c r="H13" s="36">
        <f>H11+H12</f>
        <v>0</v>
      </c>
      <c r="I13" s="41"/>
      <c r="J13" s="36">
        <f>J11+J12</f>
        <v>0</v>
      </c>
      <c r="K13" s="41"/>
      <c r="L13" s="36">
        <f>L11+L12</f>
        <v>0</v>
      </c>
      <c r="M13" s="41"/>
    </row>
    <row r="14" spans="1:13" x14ac:dyDescent="0.2">
      <c r="A14" s="25" t="s">
        <v>161</v>
      </c>
      <c r="B14" s="26"/>
      <c r="D14" s="26"/>
      <c r="F14" s="26"/>
      <c r="H14" s="26"/>
      <c r="J14" s="26"/>
      <c r="L14" s="26"/>
    </row>
    <row r="15" spans="1:13" x14ac:dyDescent="0.2">
      <c r="A15" s="25" t="s">
        <v>162</v>
      </c>
      <c r="B15" s="26"/>
      <c r="D15" s="26"/>
      <c r="F15" s="26"/>
      <c r="H15" s="26"/>
      <c r="J15" s="26"/>
      <c r="L15" s="26"/>
    </row>
    <row r="16" spans="1:13" x14ac:dyDescent="0.2">
      <c r="A16" s="25" t="s">
        <v>163</v>
      </c>
      <c r="B16" s="26"/>
      <c r="D16" s="26"/>
      <c r="F16" s="26"/>
      <c r="H16" s="26"/>
      <c r="J16" s="26"/>
      <c r="L16" s="26"/>
    </row>
    <row r="17" spans="1:13" x14ac:dyDescent="0.2">
      <c r="A17" s="35" t="s">
        <v>164</v>
      </c>
      <c r="B17" s="36">
        <f>B13+B14+B15+B16</f>
        <v>0</v>
      </c>
      <c r="C17" s="37" t="str">
        <f>IF(OR('Summary Op Stmt (Operators)'!$B$20=0,'Summary Op Stmt (Operators)'!$B$20=""),"",B17/'Summary Op Stmt (Operators)'!$B$20)</f>
        <v/>
      </c>
      <c r="D17" s="36">
        <f>D13+D14+D15+D16</f>
        <v>0</v>
      </c>
      <c r="E17" s="37" t="str">
        <f>IF(OR('Summary Op Stmt (Operators)'!$D$20=0,'Summary Op Stmt (Operators)'!$D$20=""),"",D17/'Summary Op Stmt (Operators)'!$D$20)</f>
        <v/>
      </c>
      <c r="F17" s="36">
        <f>F13+F14+F15+F16</f>
        <v>0</v>
      </c>
      <c r="G17" s="37" t="str">
        <f>IF(OR('Summary Op Stmt (Operators)'!$F$20=0,'Summary Op Stmt (Operators)'!$F$20=""),"",F17/'Summary Op Stmt (Operators)'!$F$20)</f>
        <v/>
      </c>
      <c r="H17" s="36">
        <f>H13+H14+H15+H16</f>
        <v>0</v>
      </c>
      <c r="I17" s="37" t="str">
        <f>IF(OR('Summary Op Stmt (Operators)'!$H$20=0,'Summary Op Stmt (Operators)'!$H$20=""),"",H17/'Summary Op Stmt (Operators)'!$H$20)</f>
        <v/>
      </c>
      <c r="J17" s="36">
        <f>J13+J14+J15+J16</f>
        <v>0</v>
      </c>
      <c r="K17" s="37" t="str">
        <f>IF(OR('Summary Op Stmt (Operators)'!$J$20=0,'Summary Op Stmt (Operators)'!$J$20=""),"",J17/'Summary Op Stmt (Operators)'!$J$20)</f>
        <v/>
      </c>
      <c r="L17" s="36">
        <f>L13+L14+L15+L16</f>
        <v>0</v>
      </c>
      <c r="M17" s="37" t="str">
        <f>IF(OR('Summary Op Stmt (Operators)'!$L$20=0,'Summary Op Stmt (Operators)'!$L$20=""),"",L17/'Summary Op Stmt (Operators)'!$L$20)</f>
        <v/>
      </c>
    </row>
    <row r="18" spans="1:13" x14ac:dyDescent="0.2">
      <c r="A18" s="23" t="s">
        <v>165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2">
      <c r="A19" s="25" t="s">
        <v>166</v>
      </c>
      <c r="B19" s="26"/>
      <c r="C19" s="31" t="str">
        <f>IF(OR('Summary Op Stmt (Operators)'!$B$20=0,'Summary Op Stmt (Operators)'!$B$20=""),"",B19/'Summary Op Stmt (Operators)'!$B$20)</f>
        <v/>
      </c>
      <c r="D19" s="26"/>
      <c r="E19" s="31" t="str">
        <f>IF(OR('Summary Op Stmt (Operators)'!$D$20=0,'Summary Op Stmt (Operators)'!$D$20=""),"",D19/'Summary Op Stmt (Operators)'!$D$20)</f>
        <v/>
      </c>
      <c r="F19" s="26"/>
      <c r="G19" s="31" t="str">
        <f>IF(OR('Summary Op Stmt (Operators)'!$F$20=0,'Summary Op Stmt (Operators)'!$F$20=""),"",F19/'Summary Op Stmt (Operators)'!$F$20)</f>
        <v/>
      </c>
      <c r="H19" s="26"/>
      <c r="I19" s="31" t="str">
        <f>IF(OR('Summary Op Stmt (Operators)'!$H$20=0,'Summary Op Stmt (Operators)'!$H$20=""),"",H19/'Summary Op Stmt (Operators)'!$H$20)</f>
        <v/>
      </c>
      <c r="J19" s="26"/>
      <c r="K19" s="31" t="str">
        <f>IF(OR('Summary Op Stmt (Operators)'!$J$20=0,'Summary Op Stmt (Operators)'!$J$20=""),"",J19/'Summary Op Stmt (Operators)'!$J$20)</f>
        <v/>
      </c>
      <c r="L19" s="26"/>
      <c r="M19" s="31" t="str">
        <f>IF(OR('Summary Op Stmt (Operators)'!$L$20=0,'Summary Op Stmt (Operators)'!$L$20=""),"",L19/'Summary Op Stmt (Operators)'!$L$20)</f>
        <v/>
      </c>
    </row>
    <row r="20" spans="1:13" x14ac:dyDescent="0.2">
      <c r="A20" s="25" t="s">
        <v>167</v>
      </c>
      <c r="B20" s="26"/>
      <c r="C20" s="31" t="str">
        <f>IF(OR('Summary Op Stmt (Operators)'!$B$20=0,'Summary Op Stmt (Operators)'!$B$20=""),"",B20/'Summary Op Stmt (Operators)'!$B$20)</f>
        <v/>
      </c>
      <c r="D20" s="26"/>
      <c r="E20" s="31" t="str">
        <f>IF(OR('Summary Op Stmt (Operators)'!$D$20=0,'Summary Op Stmt (Operators)'!$D$20=""),"",D20/'Summary Op Stmt (Operators)'!$D$20)</f>
        <v/>
      </c>
      <c r="F20" s="26"/>
      <c r="G20" s="31" t="str">
        <f>IF(OR('Summary Op Stmt (Operators)'!$F$20=0,'Summary Op Stmt (Operators)'!$F$20=""),"",F20/'Summary Op Stmt (Operators)'!$F$20)</f>
        <v/>
      </c>
      <c r="H20" s="26"/>
      <c r="I20" s="31" t="str">
        <f>IF(OR('Summary Op Stmt (Operators)'!$H$20=0,'Summary Op Stmt (Operators)'!$H$20=""),"",H20/'Summary Op Stmt (Operators)'!$H$20)</f>
        <v/>
      </c>
      <c r="J20" s="26"/>
      <c r="K20" s="31" t="str">
        <f>IF(OR('Summary Op Stmt (Operators)'!$J$20=0,'Summary Op Stmt (Operators)'!$J$20=""),"",J20/'Summary Op Stmt (Operators)'!$J$20)</f>
        <v/>
      </c>
      <c r="L20" s="26"/>
      <c r="M20" s="31" t="str">
        <f>IF(OR('Summary Op Stmt (Operators)'!$L$20=0,'Summary Op Stmt (Operators)'!$L$20=""),"",L20/'Summary Op Stmt (Operators)'!$L$20)</f>
        <v/>
      </c>
    </row>
    <row r="21" spans="1:13" x14ac:dyDescent="0.2">
      <c r="A21" s="25" t="s">
        <v>168</v>
      </c>
      <c r="B21" s="26"/>
      <c r="C21" s="31" t="str">
        <f>IF(OR('Summary Op Stmt (Operators)'!$B$20=0,'Summary Op Stmt (Operators)'!$B$20=""),"",B21/'Summary Op Stmt (Operators)'!$B$20)</f>
        <v/>
      </c>
      <c r="D21" s="26"/>
      <c r="E21" s="31" t="str">
        <f>IF(OR('Summary Op Stmt (Operators)'!$D$20=0,'Summary Op Stmt (Operators)'!$D$20=""),"",D21/'Summary Op Stmt (Operators)'!$D$20)</f>
        <v/>
      </c>
      <c r="F21" s="26"/>
      <c r="G21" s="31" t="str">
        <f>IF(OR('Summary Op Stmt (Operators)'!$F$20=0,'Summary Op Stmt (Operators)'!$F$20=""),"",F21/'Summary Op Stmt (Operators)'!$F$20)</f>
        <v/>
      </c>
      <c r="H21" s="26"/>
      <c r="I21" s="31" t="str">
        <f>IF(OR('Summary Op Stmt (Operators)'!$H$20=0,'Summary Op Stmt (Operators)'!$H$20=""),"",H21/'Summary Op Stmt (Operators)'!$H$20)</f>
        <v/>
      </c>
      <c r="J21" s="26"/>
      <c r="K21" s="31" t="str">
        <f>IF(OR('Summary Op Stmt (Operators)'!$J$20=0,'Summary Op Stmt (Operators)'!$J$20=""),"",J21/'Summary Op Stmt (Operators)'!$J$20)</f>
        <v/>
      </c>
      <c r="L21" s="26"/>
      <c r="M21" s="31" t="str">
        <f>IF(OR('Summary Op Stmt (Operators)'!$L$20=0,'Summary Op Stmt (Operators)'!$L$20=""),"",L21/'Summary Op Stmt (Operators)'!$L$20)</f>
        <v/>
      </c>
    </row>
    <row r="22" spans="1:13" x14ac:dyDescent="0.2">
      <c r="A22" s="35" t="s">
        <v>169</v>
      </c>
      <c r="B22" s="36">
        <f>B19+B20+B21</f>
        <v>0</v>
      </c>
      <c r="C22" s="37" t="str">
        <f>IF(OR('Summary Op Stmt (Operators)'!$B$20=0,'Summary Op Stmt (Operators)'!$B$20=""),"",B22/'Summary Op Stmt (Operators)'!$B$20)</f>
        <v/>
      </c>
      <c r="D22" s="36">
        <f>D19+D20+D21</f>
        <v>0</v>
      </c>
      <c r="E22" s="37" t="str">
        <f>IF(OR('Summary Op Stmt (Operators)'!$D$20=0,'Summary Op Stmt (Operators)'!$D$20=""),"",D22/'Summary Op Stmt (Operators)'!$D$20)</f>
        <v/>
      </c>
      <c r="F22" s="36">
        <f>F19+F20+F21</f>
        <v>0</v>
      </c>
      <c r="G22" s="37" t="str">
        <f>IF(OR('Summary Op Stmt (Operators)'!$F$20=0,'Summary Op Stmt (Operators)'!$F$20=""),"",F22/'Summary Op Stmt (Operators)'!$F$20)</f>
        <v/>
      </c>
      <c r="H22" s="36">
        <f>H19+H20+H21</f>
        <v>0</v>
      </c>
      <c r="I22" s="37" t="str">
        <f>IF(OR('Summary Op Stmt (Operators)'!$H$20=0,'Summary Op Stmt (Operators)'!$H$20=""),"",H22/'Summary Op Stmt (Operators)'!$H$20)</f>
        <v/>
      </c>
      <c r="J22" s="36">
        <f>J19+J20+J21</f>
        <v>0</v>
      </c>
      <c r="K22" s="37" t="str">
        <f>IF(OR('Summary Op Stmt (Operators)'!$J$20=0,'Summary Op Stmt (Operators)'!$J$20=""),"",J22/'Summary Op Stmt (Operators)'!$J$20)</f>
        <v/>
      </c>
      <c r="L22" s="36">
        <f>L19+L20+L21</f>
        <v>0</v>
      </c>
      <c r="M22" s="37" t="str">
        <f>IF(OR('Summary Op Stmt (Operators)'!$L$20=0,'Summary Op Stmt (Operators)'!$L$20=""),"",L22/'Summary Op Stmt (Operators)'!$L$20)</f>
        <v/>
      </c>
    </row>
    <row r="23" spans="1:13" x14ac:dyDescent="0.2">
      <c r="A23" s="35" t="s">
        <v>170</v>
      </c>
      <c r="B23" s="36">
        <f>B17+B22</f>
        <v>0</v>
      </c>
      <c r="C23" s="37" t="str">
        <f>IF(OR('Summary Op Stmt (Operators)'!$B$20=0,'Summary Op Stmt (Operators)'!$B$20=""),"",B23/'Summary Op Stmt (Operators)'!$B$20)</f>
        <v/>
      </c>
      <c r="D23" s="36">
        <f>D17+D22</f>
        <v>0</v>
      </c>
      <c r="E23" s="37" t="str">
        <f>IF(OR('Summary Op Stmt (Operators)'!$D$20=0,'Summary Op Stmt (Operators)'!$D$20=""),"",D23/'Summary Op Stmt (Operators)'!$D$20)</f>
        <v/>
      </c>
      <c r="F23" s="36">
        <f>F17+F22</f>
        <v>0</v>
      </c>
      <c r="G23" s="37" t="str">
        <f>IF(OR('Summary Op Stmt (Operators)'!$F$20=0,'Summary Op Stmt (Operators)'!$F$20=""),"",F23/'Summary Op Stmt (Operators)'!$F$20)</f>
        <v/>
      </c>
      <c r="H23" s="36">
        <f>H17+H22</f>
        <v>0</v>
      </c>
      <c r="I23" s="37" t="str">
        <f>IF(OR('Summary Op Stmt (Operators)'!$H$20=0,'Summary Op Stmt (Operators)'!$H$20=""),"",H23/'Summary Op Stmt (Operators)'!$H$20)</f>
        <v/>
      </c>
      <c r="J23" s="36">
        <f>J17+J22</f>
        <v>0</v>
      </c>
      <c r="K23" s="37" t="str">
        <f>IF(OR('Summary Op Stmt (Operators)'!$J$20=0,'Summary Op Stmt (Operators)'!$J$20=""),"",J23/'Summary Op Stmt (Operators)'!$J$20)</f>
        <v/>
      </c>
      <c r="L23" s="36">
        <f>L17+L22</f>
        <v>0</v>
      </c>
      <c r="M23" s="37" t="str">
        <f>IF(OR('Summary Op Stmt (Operators)'!$L$20=0,'Summary Op Stmt (Operators)'!$L$20=""),"",L23/'Summary Op Stmt (Operators)'!$L$20)</f>
        <v/>
      </c>
    </row>
    <row r="24" spans="1:13" x14ac:dyDescent="0.2">
      <c r="A24" s="23" t="s">
        <v>171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2">
      <c r="A25" s="25" t="s">
        <v>391</v>
      </c>
      <c r="B25" s="26"/>
      <c r="C25" s="31" t="str">
        <f>IF(OR('Summary Op Stmt (Operators)'!$B$20=0,'Summary Op Stmt (Operators)'!$B$20=""),"",B25/'Summary Op Stmt (Operators)'!$B$20)</f>
        <v/>
      </c>
      <c r="D25" s="26"/>
      <c r="E25" s="31" t="str">
        <f>IF(OR('Summary Op Stmt (Operators)'!$D$20=0,'Summary Op Stmt (Operators)'!$D$20=""),"",D25/'Summary Op Stmt (Operators)'!$D$20)</f>
        <v/>
      </c>
      <c r="F25" s="26"/>
      <c r="G25" s="31" t="str">
        <f>IF(OR('Summary Op Stmt (Operators)'!$F$20=0,'Summary Op Stmt (Operators)'!$F$20=""),"",F25/'Summary Op Stmt (Operators)'!$F$20)</f>
        <v/>
      </c>
      <c r="H25" s="26"/>
      <c r="I25" s="31" t="str">
        <f>IF(OR('Summary Op Stmt (Operators)'!$H$20=0,'Summary Op Stmt (Operators)'!$H$20=""),"",H25/'Summary Op Stmt (Operators)'!$H$20)</f>
        <v/>
      </c>
      <c r="J25" s="26"/>
      <c r="K25" s="31" t="str">
        <f>IF(OR('Summary Op Stmt (Operators)'!$J$20=0,'Summary Op Stmt (Operators)'!$J$20=""),"",J25/'Summary Op Stmt (Operators)'!$J$20)</f>
        <v/>
      </c>
      <c r="L25" s="26"/>
      <c r="M25" s="31" t="str">
        <f>IF(OR('Summary Op Stmt (Operators)'!$L$20=0,'Summary Op Stmt (Operators)'!$L$20=""),"",L25/'Summary Op Stmt (Operators)'!$L$20)</f>
        <v/>
      </c>
    </row>
    <row r="26" spans="1:13" x14ac:dyDescent="0.2">
      <c r="A26" s="25" t="s">
        <v>173</v>
      </c>
      <c r="B26" s="26"/>
      <c r="C26" s="31" t="str">
        <f>IF(OR('Summary Op Stmt (Operators)'!$B$20=0,'Summary Op Stmt (Operators)'!$B$20=""),"",B26/'Summary Op Stmt (Operators)'!$B$20)</f>
        <v/>
      </c>
      <c r="D26" s="26"/>
      <c r="E26" s="31" t="str">
        <f>IF(OR('Summary Op Stmt (Operators)'!$D$20=0,'Summary Op Stmt (Operators)'!$D$20=""),"",D26/'Summary Op Stmt (Operators)'!$D$20)</f>
        <v/>
      </c>
      <c r="F26" s="26"/>
      <c r="G26" s="31" t="str">
        <f>IF(OR('Summary Op Stmt (Operators)'!$F$20=0,'Summary Op Stmt (Operators)'!$F$20=""),"",F26/'Summary Op Stmt (Operators)'!$F$20)</f>
        <v/>
      </c>
      <c r="H26" s="26"/>
      <c r="I26" s="31" t="str">
        <f>IF(OR('Summary Op Stmt (Operators)'!$H$20=0,'Summary Op Stmt (Operators)'!$H$20=""),"",H26/'Summary Op Stmt (Operators)'!$H$20)</f>
        <v/>
      </c>
      <c r="J26" s="26"/>
      <c r="K26" s="31" t="str">
        <f>IF(OR('Summary Op Stmt (Operators)'!$J$20=0,'Summary Op Stmt (Operators)'!$J$20=""),"",J26/'Summary Op Stmt (Operators)'!$J$20)</f>
        <v/>
      </c>
      <c r="L26" s="26"/>
      <c r="M26" s="31" t="str">
        <f>IF(OR('Summary Op Stmt (Operators)'!$L$20=0,'Summary Op Stmt (Operators)'!$L$20=""),"",L26/'Summary Op Stmt (Operators)'!$L$20)</f>
        <v/>
      </c>
    </row>
    <row r="27" spans="1:13" x14ac:dyDescent="0.2">
      <c r="A27" s="25" t="s">
        <v>392</v>
      </c>
      <c r="B27" s="26"/>
      <c r="C27" s="31" t="str">
        <f>IF(OR('Summary Op Stmt (Operators)'!$B$20=0,'Summary Op Stmt (Operators)'!$B$20=""),"",B27/'Summary Op Stmt (Operators)'!$B$20)</f>
        <v/>
      </c>
      <c r="D27" s="26"/>
      <c r="E27" s="31" t="str">
        <f>IF(OR('Summary Op Stmt (Operators)'!$D$20=0,'Summary Op Stmt (Operators)'!$D$20=""),"",D27/'Summary Op Stmt (Operators)'!$D$20)</f>
        <v/>
      </c>
      <c r="F27" s="26"/>
      <c r="G27" s="31" t="str">
        <f>IF(OR('Summary Op Stmt (Operators)'!$F$20=0,'Summary Op Stmt (Operators)'!$F$20=""),"",F27/'Summary Op Stmt (Operators)'!$F$20)</f>
        <v/>
      </c>
      <c r="H27" s="26"/>
      <c r="I27" s="31" t="str">
        <f>IF(OR('Summary Op Stmt (Operators)'!$H$20=0,'Summary Op Stmt (Operators)'!$H$20=""),"",H27/'Summary Op Stmt (Operators)'!$H$20)</f>
        <v/>
      </c>
      <c r="J27" s="26"/>
      <c r="K27" s="31" t="str">
        <f>IF(OR('Summary Op Stmt (Operators)'!$J$20=0,'Summary Op Stmt (Operators)'!$J$20=""),"",J27/'Summary Op Stmt (Operators)'!$J$20)</f>
        <v/>
      </c>
      <c r="L27" s="26"/>
      <c r="M27" s="31" t="str">
        <f>IF(OR('Summary Op Stmt (Operators)'!$L$20=0,'Summary Op Stmt (Operators)'!$L$20=""),"",L27/'Summary Op Stmt (Operators)'!$L$20)</f>
        <v/>
      </c>
    </row>
    <row r="28" spans="1:13" x14ac:dyDescent="0.2">
      <c r="A28" s="25" t="s">
        <v>178</v>
      </c>
      <c r="B28" s="26"/>
      <c r="C28" s="31" t="str">
        <f>IF(OR('Summary Op Stmt (Operators)'!$B$20=0,'Summary Op Stmt (Operators)'!$B$20=""),"",B28/'Summary Op Stmt (Operators)'!$B$20)</f>
        <v/>
      </c>
      <c r="D28" s="26"/>
      <c r="E28" s="31" t="str">
        <f>IF(OR('Summary Op Stmt (Operators)'!$D$20=0,'Summary Op Stmt (Operators)'!$D$20=""),"",D28/'Summary Op Stmt (Operators)'!$D$20)</f>
        <v/>
      </c>
      <c r="F28" s="26"/>
      <c r="G28" s="31" t="str">
        <f>IF(OR('Summary Op Stmt (Operators)'!$F$20=0,'Summary Op Stmt (Operators)'!$F$20=""),"",F28/'Summary Op Stmt (Operators)'!$F$20)</f>
        <v/>
      </c>
      <c r="H28" s="26"/>
      <c r="I28" s="31" t="str">
        <f>IF(OR('Summary Op Stmt (Operators)'!$H$20=0,'Summary Op Stmt (Operators)'!$H$20=""),"",H28/'Summary Op Stmt (Operators)'!$H$20)</f>
        <v/>
      </c>
      <c r="J28" s="26"/>
      <c r="K28" s="31" t="str">
        <f>IF(OR('Summary Op Stmt (Operators)'!$J$20=0,'Summary Op Stmt (Operators)'!$J$20=""),"",J28/'Summary Op Stmt (Operators)'!$J$20)</f>
        <v/>
      </c>
      <c r="L28" s="26"/>
      <c r="M28" s="31" t="str">
        <f>IF(OR('Summary Op Stmt (Operators)'!$L$20=0,'Summary Op Stmt (Operators)'!$L$20=""),"",L28/'Summary Op Stmt (Operators)'!$L$20)</f>
        <v/>
      </c>
    </row>
    <row r="29" spans="1:13" x14ac:dyDescent="0.2">
      <c r="A29" s="25" t="s">
        <v>179</v>
      </c>
      <c r="B29" s="26"/>
      <c r="C29" s="31" t="str">
        <f>IF(OR('Summary Op Stmt (Operators)'!$B$20=0,'Summary Op Stmt (Operators)'!$B$20=""),"",B29/'Summary Op Stmt (Operators)'!$B$20)</f>
        <v/>
      </c>
      <c r="D29" s="26"/>
      <c r="E29" s="31" t="str">
        <f>IF(OR('Summary Op Stmt (Operators)'!$D$20=0,'Summary Op Stmt (Operators)'!$D$20=""),"",D29/'Summary Op Stmt (Operators)'!$D$20)</f>
        <v/>
      </c>
      <c r="F29" s="26"/>
      <c r="G29" s="31" t="str">
        <f>IF(OR('Summary Op Stmt (Operators)'!$F$20=0,'Summary Op Stmt (Operators)'!$F$20=""),"",F29/'Summary Op Stmt (Operators)'!$F$20)</f>
        <v/>
      </c>
      <c r="H29" s="26"/>
      <c r="I29" s="31" t="str">
        <f>IF(OR('Summary Op Stmt (Operators)'!$H$20=0,'Summary Op Stmt (Operators)'!$H$20=""),"",H29/'Summary Op Stmt (Operators)'!$H$20)</f>
        <v/>
      </c>
      <c r="J29" s="26"/>
      <c r="K29" s="31" t="str">
        <f>IF(OR('Summary Op Stmt (Operators)'!$J$20=0,'Summary Op Stmt (Operators)'!$J$20=""),"",J29/'Summary Op Stmt (Operators)'!$J$20)</f>
        <v/>
      </c>
      <c r="L29" s="26"/>
      <c r="M29" s="31" t="str">
        <f>IF(OR('Summary Op Stmt (Operators)'!$L$20=0,'Summary Op Stmt (Operators)'!$L$20=""),"",L29/'Summary Op Stmt (Operators)'!$L$20)</f>
        <v/>
      </c>
    </row>
    <row r="30" spans="1:13" x14ac:dyDescent="0.2">
      <c r="A30" s="25" t="s">
        <v>180</v>
      </c>
      <c r="B30" s="26"/>
      <c r="C30" s="31" t="str">
        <f>IF(OR('Summary Op Stmt (Operators)'!$B$20=0,'Summary Op Stmt (Operators)'!$B$20=""),"",B30/'Summary Op Stmt (Operators)'!$B$20)</f>
        <v/>
      </c>
      <c r="D30" s="26"/>
      <c r="E30" s="31" t="str">
        <f>IF(OR('Summary Op Stmt (Operators)'!$D$20=0,'Summary Op Stmt (Operators)'!$D$20=""),"",D30/'Summary Op Stmt (Operators)'!$D$20)</f>
        <v/>
      </c>
      <c r="F30" s="26"/>
      <c r="G30" s="31" t="str">
        <f>IF(OR('Summary Op Stmt (Operators)'!$F$20=0,'Summary Op Stmt (Operators)'!$F$20=""),"",F30/'Summary Op Stmt (Operators)'!$F$20)</f>
        <v/>
      </c>
      <c r="H30" s="26"/>
      <c r="I30" s="31" t="str">
        <f>IF(OR('Summary Op Stmt (Operators)'!$H$20=0,'Summary Op Stmt (Operators)'!$H$20=""),"",H30/'Summary Op Stmt (Operators)'!$H$20)</f>
        <v/>
      </c>
      <c r="J30" s="26"/>
      <c r="K30" s="31" t="str">
        <f>IF(OR('Summary Op Stmt (Operators)'!$J$20=0,'Summary Op Stmt (Operators)'!$J$20=""),"",J30/'Summary Op Stmt (Operators)'!$J$20)</f>
        <v/>
      </c>
      <c r="L30" s="26"/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181</v>
      </c>
      <c r="B31" s="26"/>
      <c r="C31" s="31" t="str">
        <f>IF(OR('Summary Op Stmt (Operators)'!$B$20=0,'Summary Op Stmt (Operators)'!$B$20=""),"",B31/'Summary Op Stmt (Operators)'!$B$20)</f>
        <v/>
      </c>
      <c r="D31" s="26"/>
      <c r="E31" s="31" t="str">
        <f>IF(OR('Summary Op Stmt (Operators)'!$D$20=0,'Summary Op Stmt (Operators)'!$D$20=""),"",D31/'Summary Op Stmt (Operators)'!$D$20)</f>
        <v/>
      </c>
      <c r="F31" s="26"/>
      <c r="G31" s="31" t="str">
        <f>IF(OR('Summary Op Stmt (Operators)'!$F$20=0,'Summary Op Stmt (Operators)'!$F$20=""),"",F31/'Summary Op Stmt (Operators)'!$F$20)</f>
        <v/>
      </c>
      <c r="H31" s="26"/>
      <c r="I31" s="31" t="str">
        <f>IF(OR('Summary Op Stmt (Operators)'!$H$20=0,'Summary Op Stmt (Operators)'!$H$20=""),"",H31/'Summary Op Stmt (Operators)'!$H$20)</f>
        <v/>
      </c>
      <c r="J31" s="26"/>
      <c r="K31" s="31" t="str">
        <f>IF(OR('Summary Op Stmt (Operators)'!$J$20=0,'Summary Op Stmt (Operators)'!$J$20=""),"",J31/'Summary Op Stmt (Operators)'!$J$20)</f>
        <v/>
      </c>
      <c r="L31" s="26"/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25" t="s">
        <v>393</v>
      </c>
      <c r="B32" s="26"/>
      <c r="C32" s="31" t="str">
        <f>IF(OR('Summary Op Stmt (Operators)'!$B$20=0,'Summary Op Stmt (Operators)'!$B$20=""),"",B32/'Summary Op Stmt (Operators)'!$B$20)</f>
        <v/>
      </c>
      <c r="D32" s="26"/>
      <c r="E32" s="31" t="str">
        <f>IF(OR('Summary Op Stmt (Operators)'!$D$20=0,'Summary Op Stmt (Operators)'!$D$20=""),"",D32/'Summary Op Stmt (Operators)'!$D$20)</f>
        <v/>
      </c>
      <c r="F32" s="26"/>
      <c r="G32" s="31" t="str">
        <f>IF(OR('Summary Op Stmt (Operators)'!$F$20=0,'Summary Op Stmt (Operators)'!$F$20=""),"",F32/'Summary Op Stmt (Operators)'!$F$20)</f>
        <v/>
      </c>
      <c r="H32" s="26"/>
      <c r="I32" s="31" t="str">
        <f>IF(OR('Summary Op Stmt (Operators)'!$H$20=0,'Summary Op Stmt (Operators)'!$H$20=""),"",H32/'Summary Op Stmt (Operators)'!$H$20)</f>
        <v/>
      </c>
      <c r="J32" s="26"/>
      <c r="K32" s="31" t="str">
        <f>IF(OR('Summary Op Stmt (Operators)'!$J$20=0,'Summary Op Stmt (Operators)'!$J$20=""),"",J32/'Summary Op Stmt (Operators)'!$J$20)</f>
        <v/>
      </c>
      <c r="L32" s="26"/>
      <c r="M32" s="31" t="str">
        <f>IF(OR('Summary Op Stmt (Operators)'!$L$20=0,'Summary Op Stmt (Operators)'!$L$20=""),"",L32/'Summary Op Stmt (Operators)'!$L$20)</f>
        <v/>
      </c>
    </row>
    <row r="33" spans="1:13" x14ac:dyDescent="0.2">
      <c r="A33" s="25" t="s">
        <v>182</v>
      </c>
      <c r="B33" s="26"/>
      <c r="C33" s="31" t="str">
        <f>IF(OR('Summary Op Stmt (Operators)'!$B$20=0,'Summary Op Stmt (Operators)'!$B$20=""),"",B33/'Summary Op Stmt (Operators)'!$B$20)</f>
        <v/>
      </c>
      <c r="D33" s="26"/>
      <c r="E33" s="31" t="str">
        <f>IF(OR('Summary Op Stmt (Operators)'!$D$20=0,'Summary Op Stmt (Operators)'!$D$20=""),"",D33/'Summary Op Stmt (Operators)'!$D$20)</f>
        <v/>
      </c>
      <c r="F33" s="26"/>
      <c r="G33" s="31" t="str">
        <f>IF(OR('Summary Op Stmt (Operators)'!$F$20=0,'Summary Op Stmt (Operators)'!$F$20=""),"",F33/'Summary Op Stmt (Operators)'!$F$20)</f>
        <v/>
      </c>
      <c r="H33" s="26"/>
      <c r="I33" s="31" t="str">
        <f>IF(OR('Summary Op Stmt (Operators)'!$H$20=0,'Summary Op Stmt (Operators)'!$H$20=""),"",H33/'Summary Op Stmt (Operators)'!$H$20)</f>
        <v/>
      </c>
      <c r="J33" s="26"/>
      <c r="K33" s="31" t="str">
        <f>IF(OR('Summary Op Stmt (Operators)'!$J$20=0,'Summary Op Stmt (Operators)'!$J$20=""),"",J33/'Summary Op Stmt (Operators)'!$J$20)</f>
        <v/>
      </c>
      <c r="L33" s="26"/>
      <c r="M33" s="31" t="str">
        <f>IF(OR('Summary Op Stmt (Operators)'!$L$20=0,'Summary Op Stmt (Operators)'!$L$20=""),"",L33/'Summary Op Stmt (Operators)'!$L$20)</f>
        <v/>
      </c>
    </row>
    <row r="34" spans="1:13" x14ac:dyDescent="0.2">
      <c r="A34" s="25" t="s">
        <v>183</v>
      </c>
      <c r="B34" s="26"/>
      <c r="C34" s="31" t="str">
        <f>IF(OR('Summary Op Stmt (Operators)'!$B$20=0,'Summary Op Stmt (Operators)'!$B$20=""),"",B34/'Summary Op Stmt (Operators)'!$B$20)</f>
        <v/>
      </c>
      <c r="D34" s="26"/>
      <c r="E34" s="31" t="str">
        <f>IF(OR('Summary Op Stmt (Operators)'!$D$20=0,'Summary Op Stmt (Operators)'!$D$20=""),"",D34/'Summary Op Stmt (Operators)'!$D$20)</f>
        <v/>
      </c>
      <c r="F34" s="26"/>
      <c r="G34" s="31" t="str">
        <f>IF(OR('Summary Op Stmt (Operators)'!$F$20=0,'Summary Op Stmt (Operators)'!$F$20=""),"",F34/'Summary Op Stmt (Operators)'!$F$20)</f>
        <v/>
      </c>
      <c r="H34" s="26"/>
      <c r="I34" s="31" t="str">
        <f>IF(OR('Summary Op Stmt (Operators)'!$H$20=0,'Summary Op Stmt (Operators)'!$H$20=""),"",H34/'Summary Op Stmt (Operators)'!$H$20)</f>
        <v/>
      </c>
      <c r="J34" s="26"/>
      <c r="K34" s="31" t="str">
        <f>IF(OR('Summary Op Stmt (Operators)'!$J$20=0,'Summary Op Stmt (Operators)'!$J$20=""),"",J34/'Summary Op Stmt (Operators)'!$J$20)</f>
        <v/>
      </c>
      <c r="L34" s="26"/>
      <c r="M34" s="31" t="str">
        <f>IF(OR('Summary Op Stmt (Operators)'!$L$20=0,'Summary Op Stmt (Operators)'!$L$20=""),"",L34/'Summary Op Stmt (Operators)'!$L$20)</f>
        <v/>
      </c>
    </row>
    <row r="35" spans="1:13" x14ac:dyDescent="0.2">
      <c r="A35" s="25" t="s">
        <v>184</v>
      </c>
      <c r="B35" s="26"/>
      <c r="C35" s="31" t="str">
        <f>IF(OR('Summary Op Stmt (Operators)'!$B$20=0,'Summary Op Stmt (Operators)'!$B$20=""),"",B35/'Summary Op Stmt (Operators)'!$B$20)</f>
        <v/>
      </c>
      <c r="D35" s="26"/>
      <c r="E35" s="31" t="str">
        <f>IF(OR('Summary Op Stmt (Operators)'!$D$20=0,'Summary Op Stmt (Operators)'!$D$20=""),"",D35/'Summary Op Stmt (Operators)'!$D$20)</f>
        <v/>
      </c>
      <c r="F35" s="26"/>
      <c r="G35" s="31" t="str">
        <f>IF(OR('Summary Op Stmt (Operators)'!$F$20=0,'Summary Op Stmt (Operators)'!$F$20=""),"",F35/'Summary Op Stmt (Operators)'!$F$20)</f>
        <v/>
      </c>
      <c r="H35" s="26"/>
      <c r="I35" s="31" t="str">
        <f>IF(OR('Summary Op Stmt (Operators)'!$H$20=0,'Summary Op Stmt (Operators)'!$H$20=""),"",H35/'Summary Op Stmt (Operators)'!$H$20)</f>
        <v/>
      </c>
      <c r="J35" s="26"/>
      <c r="K35" s="31" t="str">
        <f>IF(OR('Summary Op Stmt (Operators)'!$J$20=0,'Summary Op Stmt (Operators)'!$J$20=""),"",J35/'Summary Op Stmt (Operators)'!$J$20)</f>
        <v/>
      </c>
      <c r="L35" s="26"/>
      <c r="M35" s="31" t="str">
        <f>IF(OR('Summary Op Stmt (Operators)'!$L$20=0,'Summary Op Stmt (Operators)'!$L$20=""),"",L35/'Summary Op Stmt (Operators)'!$L$20)</f>
        <v/>
      </c>
    </row>
    <row r="36" spans="1:13" x14ac:dyDescent="0.2">
      <c r="A36" s="25" t="s">
        <v>394</v>
      </c>
      <c r="B36" s="26"/>
      <c r="C36" s="31" t="str">
        <f>IF(OR('Summary Op Stmt (Operators)'!$B$20=0,'Summary Op Stmt (Operators)'!$B$20=""),"",B36/'Summary Op Stmt (Operators)'!$B$20)</f>
        <v/>
      </c>
      <c r="D36" s="26"/>
      <c r="E36" s="31" t="str">
        <f>IF(OR('Summary Op Stmt (Operators)'!$D$20=0,'Summary Op Stmt (Operators)'!$D$20=""),"",D36/'Summary Op Stmt (Operators)'!$D$20)</f>
        <v/>
      </c>
      <c r="F36" s="26"/>
      <c r="G36" s="31" t="str">
        <f>IF(OR('Summary Op Stmt (Operators)'!$F$20=0,'Summary Op Stmt (Operators)'!$F$20=""),"",F36/'Summary Op Stmt (Operators)'!$F$20)</f>
        <v/>
      </c>
      <c r="H36" s="26"/>
      <c r="I36" s="31" t="str">
        <f>IF(OR('Summary Op Stmt (Operators)'!$H$20=0,'Summary Op Stmt (Operators)'!$H$20=""),"",H36/'Summary Op Stmt (Operators)'!$H$20)</f>
        <v/>
      </c>
      <c r="J36" s="26"/>
      <c r="K36" s="31" t="str">
        <f>IF(OR('Summary Op Stmt (Operators)'!$J$20=0,'Summary Op Stmt (Operators)'!$J$20=""),"",J36/'Summary Op Stmt (Operators)'!$J$20)</f>
        <v/>
      </c>
      <c r="L36" s="26"/>
      <c r="M36" s="31" t="str">
        <f>IF(OR('Summary Op Stmt (Operators)'!$L$20=0,'Summary Op Stmt (Operators)'!$L$20=""),"",L36/'Summary Op Stmt (Operators)'!$L$20)</f>
        <v/>
      </c>
    </row>
    <row r="37" spans="1:13" x14ac:dyDescent="0.2">
      <c r="A37" s="25" t="s">
        <v>395</v>
      </c>
      <c r="B37" s="26"/>
      <c r="C37" s="31" t="str">
        <f>IF(OR('Summary Op Stmt (Operators)'!$B$20=0,'Summary Op Stmt (Operators)'!$B$20=""),"",B37/'Summary Op Stmt (Operators)'!$B$20)</f>
        <v/>
      </c>
      <c r="D37" s="26"/>
      <c r="E37" s="31" t="str">
        <f>IF(OR('Summary Op Stmt (Operators)'!$D$20=0,'Summary Op Stmt (Operators)'!$D$20=""),"",D37/'Summary Op Stmt (Operators)'!$D$20)</f>
        <v/>
      </c>
      <c r="F37" s="26"/>
      <c r="G37" s="31" t="str">
        <f>IF(OR('Summary Op Stmt (Operators)'!$F$20=0,'Summary Op Stmt (Operators)'!$F$20=""),"",F37/'Summary Op Stmt (Operators)'!$F$20)</f>
        <v/>
      </c>
      <c r="H37" s="26"/>
      <c r="I37" s="31" t="str">
        <f>IF(OR('Summary Op Stmt (Operators)'!$H$20=0,'Summary Op Stmt (Operators)'!$H$20=""),"",H37/'Summary Op Stmt (Operators)'!$H$20)</f>
        <v/>
      </c>
      <c r="J37" s="26"/>
      <c r="K37" s="31" t="str">
        <f>IF(OR('Summary Op Stmt (Operators)'!$J$20=0,'Summary Op Stmt (Operators)'!$J$20=""),"",J37/'Summary Op Stmt (Operators)'!$J$20)</f>
        <v/>
      </c>
      <c r="L37" s="26"/>
      <c r="M37" s="31" t="str">
        <f>IF(OR('Summary Op Stmt (Operators)'!$L$20=0,'Summary Op Stmt (Operators)'!$L$20=""),"",L37/'Summary Op Stmt (Operators)'!$L$20)</f>
        <v/>
      </c>
    </row>
    <row r="38" spans="1:13" x14ac:dyDescent="0.2">
      <c r="A38" s="25" t="s">
        <v>396</v>
      </c>
      <c r="B38" s="26"/>
      <c r="C38" s="31" t="str">
        <f>IF(OR('Summary Op Stmt (Operators)'!$B$20=0,'Summary Op Stmt (Operators)'!$B$20=""),"",B38/'Summary Op Stmt (Operators)'!$B$20)</f>
        <v/>
      </c>
      <c r="D38" s="26"/>
      <c r="E38" s="31" t="str">
        <f>IF(OR('Summary Op Stmt (Operators)'!$D$20=0,'Summary Op Stmt (Operators)'!$D$20=""),"",D38/'Summary Op Stmt (Operators)'!$D$20)</f>
        <v/>
      </c>
      <c r="F38" s="26"/>
      <c r="G38" s="31" t="str">
        <f>IF(OR('Summary Op Stmt (Operators)'!$F$20=0,'Summary Op Stmt (Operators)'!$F$20=""),"",F38/'Summary Op Stmt (Operators)'!$F$20)</f>
        <v/>
      </c>
      <c r="H38" s="26"/>
      <c r="I38" s="31" t="str">
        <f>IF(OR('Summary Op Stmt (Operators)'!$H$20=0,'Summary Op Stmt (Operators)'!$H$20=""),"",H38/'Summary Op Stmt (Operators)'!$H$20)</f>
        <v/>
      </c>
      <c r="J38" s="26"/>
      <c r="K38" s="31" t="str">
        <f>IF(OR('Summary Op Stmt (Operators)'!$J$20=0,'Summary Op Stmt (Operators)'!$J$20=""),"",J38/'Summary Op Stmt (Operators)'!$J$20)</f>
        <v/>
      </c>
      <c r="L38" s="26"/>
      <c r="M38" s="31" t="str">
        <f>IF(OR('Summary Op Stmt (Operators)'!$L$20=0,'Summary Op Stmt (Operators)'!$L$20=""),"",L38/'Summary Op Stmt (Operators)'!$L$20)</f>
        <v/>
      </c>
    </row>
    <row r="39" spans="1:13" x14ac:dyDescent="0.2">
      <c r="A39" s="25" t="s">
        <v>397</v>
      </c>
      <c r="B39" s="26"/>
      <c r="C39" s="31" t="str">
        <f>IF(OR('Summary Op Stmt (Operators)'!$B$20=0,'Summary Op Stmt (Operators)'!$B$20=""),"",B39/'Summary Op Stmt (Operators)'!$B$20)</f>
        <v/>
      </c>
      <c r="D39" s="26"/>
      <c r="E39" s="31" t="str">
        <f>IF(OR('Summary Op Stmt (Operators)'!$D$20=0,'Summary Op Stmt (Operators)'!$D$20=""),"",D39/'Summary Op Stmt (Operators)'!$D$20)</f>
        <v/>
      </c>
      <c r="F39" s="26"/>
      <c r="G39" s="31" t="str">
        <f>IF(OR('Summary Op Stmt (Operators)'!$F$20=0,'Summary Op Stmt (Operators)'!$F$20=""),"",F39/'Summary Op Stmt (Operators)'!$F$20)</f>
        <v/>
      </c>
      <c r="H39" s="26"/>
      <c r="I39" s="31" t="str">
        <f>IF(OR('Summary Op Stmt (Operators)'!$H$20=0,'Summary Op Stmt (Operators)'!$H$20=""),"",H39/'Summary Op Stmt (Operators)'!$H$20)</f>
        <v/>
      </c>
      <c r="J39" s="26"/>
      <c r="K39" s="31" t="str">
        <f>IF(OR('Summary Op Stmt (Operators)'!$J$20=0,'Summary Op Stmt (Operators)'!$J$20=""),"",J39/'Summary Op Stmt (Operators)'!$J$20)</f>
        <v/>
      </c>
      <c r="L39" s="26"/>
      <c r="M39" s="31" t="str">
        <f>IF(OR('Summary Op Stmt (Operators)'!$L$20=0,'Summary Op Stmt (Operators)'!$L$20=""),"",L39/'Summary Op Stmt (Operators)'!$L$20)</f>
        <v/>
      </c>
    </row>
    <row r="40" spans="1:13" x14ac:dyDescent="0.2">
      <c r="A40" s="25" t="s">
        <v>398</v>
      </c>
      <c r="B40" s="26"/>
      <c r="C40" s="31" t="str">
        <f>IF(OR('Summary Op Stmt (Operators)'!$B$20=0,'Summary Op Stmt (Operators)'!$B$20=""),"",B40/'Summary Op Stmt (Operators)'!$B$20)</f>
        <v/>
      </c>
      <c r="D40" s="26"/>
      <c r="E40" s="31" t="str">
        <f>IF(OR('Summary Op Stmt (Operators)'!$D$20=0,'Summary Op Stmt (Operators)'!$D$20=""),"",D40/'Summary Op Stmt (Operators)'!$D$20)</f>
        <v/>
      </c>
      <c r="F40" s="26"/>
      <c r="G40" s="31" t="str">
        <f>IF(OR('Summary Op Stmt (Operators)'!$F$20=0,'Summary Op Stmt (Operators)'!$F$20=""),"",F40/'Summary Op Stmt (Operators)'!$F$20)</f>
        <v/>
      </c>
      <c r="H40" s="26"/>
      <c r="I40" s="31" t="str">
        <f>IF(OR('Summary Op Stmt (Operators)'!$H$20=0,'Summary Op Stmt (Operators)'!$H$20=""),"",H40/'Summary Op Stmt (Operators)'!$H$20)</f>
        <v/>
      </c>
      <c r="J40" s="26"/>
      <c r="K40" s="31" t="str">
        <f>IF(OR('Summary Op Stmt (Operators)'!$J$20=0,'Summary Op Stmt (Operators)'!$J$20=""),"",J40/'Summary Op Stmt (Operators)'!$J$20)</f>
        <v/>
      </c>
      <c r="L40" s="26"/>
      <c r="M40" s="31" t="str">
        <f>IF(OR('Summary Op Stmt (Operators)'!$L$20=0,'Summary Op Stmt (Operators)'!$L$20=""),"",L40/'Summary Op Stmt (Operators)'!$L$20)</f>
        <v/>
      </c>
    </row>
    <row r="41" spans="1:13" x14ac:dyDescent="0.2">
      <c r="A41" s="25" t="s">
        <v>399</v>
      </c>
      <c r="B41" s="26"/>
      <c r="C41" s="31" t="str">
        <f>IF(OR('Summary Op Stmt (Operators)'!$B$20=0,'Summary Op Stmt (Operators)'!$B$20=""),"",B41/'Summary Op Stmt (Operators)'!$B$20)</f>
        <v/>
      </c>
      <c r="D41" s="26"/>
      <c r="E41" s="31" t="str">
        <f>IF(OR('Summary Op Stmt (Operators)'!$D$20=0,'Summary Op Stmt (Operators)'!$D$20=""),"",D41/'Summary Op Stmt (Operators)'!$D$20)</f>
        <v/>
      </c>
      <c r="F41" s="26"/>
      <c r="G41" s="31" t="str">
        <f>IF(OR('Summary Op Stmt (Operators)'!$F$20=0,'Summary Op Stmt (Operators)'!$F$20=""),"",F41/'Summary Op Stmt (Operators)'!$F$20)</f>
        <v/>
      </c>
      <c r="H41" s="26"/>
      <c r="I41" s="31" t="str">
        <f>IF(OR('Summary Op Stmt (Operators)'!$H$20=0,'Summary Op Stmt (Operators)'!$H$20=""),"",H41/'Summary Op Stmt (Operators)'!$H$20)</f>
        <v/>
      </c>
      <c r="J41" s="26"/>
      <c r="K41" s="31" t="str">
        <f>IF(OR('Summary Op Stmt (Operators)'!$J$20=0,'Summary Op Stmt (Operators)'!$J$20=""),"",J41/'Summary Op Stmt (Operators)'!$J$20)</f>
        <v/>
      </c>
      <c r="L41" s="26"/>
      <c r="M41" s="31" t="str">
        <f>IF(OR('Summary Op Stmt (Operators)'!$L$20=0,'Summary Op Stmt (Operators)'!$L$20=""),"",L41/'Summary Op Stmt (Operators)'!$L$20)</f>
        <v/>
      </c>
    </row>
    <row r="42" spans="1:13" x14ac:dyDescent="0.2">
      <c r="A42" s="25" t="s">
        <v>191</v>
      </c>
      <c r="B42" s="26"/>
      <c r="C42" s="31" t="str">
        <f>IF(OR('Summary Op Stmt (Operators)'!$B$20=0,'Summary Op Stmt (Operators)'!$B$20=""),"",B42/'Summary Op Stmt (Operators)'!$B$20)</f>
        <v/>
      </c>
      <c r="D42" s="26"/>
      <c r="E42" s="31" t="str">
        <f>IF(OR('Summary Op Stmt (Operators)'!$D$20=0,'Summary Op Stmt (Operators)'!$D$20=""),"",D42/'Summary Op Stmt (Operators)'!$D$20)</f>
        <v/>
      </c>
      <c r="F42" s="26"/>
      <c r="G42" s="31" t="str">
        <f>IF(OR('Summary Op Stmt (Operators)'!$F$20=0,'Summary Op Stmt (Operators)'!$F$20=""),"",F42/'Summary Op Stmt (Operators)'!$F$20)</f>
        <v/>
      </c>
      <c r="H42" s="26"/>
      <c r="I42" s="31" t="str">
        <f>IF(OR('Summary Op Stmt (Operators)'!$H$20=0,'Summary Op Stmt (Operators)'!$H$20=""),"",H42/'Summary Op Stmt (Operators)'!$H$20)</f>
        <v/>
      </c>
      <c r="J42" s="26"/>
      <c r="K42" s="31" t="str">
        <f>IF(OR('Summary Op Stmt (Operators)'!$J$20=0,'Summary Op Stmt (Operators)'!$J$20=""),"",J42/'Summary Op Stmt (Operators)'!$J$20)</f>
        <v/>
      </c>
      <c r="L42" s="26"/>
      <c r="M42" s="31" t="str">
        <f>IF(OR('Summary Op Stmt (Operators)'!$L$20=0,'Summary Op Stmt (Operators)'!$L$20=""),"",L42/'Summary Op Stmt (Operators)'!$L$20)</f>
        <v/>
      </c>
    </row>
    <row r="43" spans="1:13" x14ac:dyDescent="0.2">
      <c r="A43" s="25" t="s">
        <v>192</v>
      </c>
      <c r="B43" s="26"/>
      <c r="C43" s="31" t="str">
        <f>IF(OR('Summary Op Stmt (Operators)'!$B$20=0,'Summary Op Stmt (Operators)'!$B$20=""),"",B43/'Summary Op Stmt (Operators)'!$B$20)</f>
        <v/>
      </c>
      <c r="D43" s="26"/>
      <c r="E43" s="31" t="str">
        <f>IF(OR('Summary Op Stmt (Operators)'!$D$20=0,'Summary Op Stmt (Operators)'!$D$20=""),"",D43/'Summary Op Stmt (Operators)'!$D$20)</f>
        <v/>
      </c>
      <c r="F43" s="26"/>
      <c r="G43" s="31" t="str">
        <f>IF(OR('Summary Op Stmt (Operators)'!$F$20=0,'Summary Op Stmt (Operators)'!$F$20=""),"",F43/'Summary Op Stmt (Operators)'!$F$20)</f>
        <v/>
      </c>
      <c r="H43" s="26"/>
      <c r="I43" s="31" t="str">
        <f>IF(OR('Summary Op Stmt (Operators)'!$H$20=0,'Summary Op Stmt (Operators)'!$H$20=""),"",H43/'Summary Op Stmt (Operators)'!$H$20)</f>
        <v/>
      </c>
      <c r="J43" s="26"/>
      <c r="K43" s="31" t="str">
        <f>IF(OR('Summary Op Stmt (Operators)'!$J$20=0,'Summary Op Stmt (Operators)'!$J$20=""),"",J43/'Summary Op Stmt (Operators)'!$J$20)</f>
        <v/>
      </c>
      <c r="L43" s="26"/>
      <c r="M43" s="31" t="str">
        <f>IF(OR('Summary Op Stmt (Operators)'!$L$20=0,'Summary Op Stmt (Operators)'!$L$20=""),"",L43/'Summary Op Stmt (Operators)'!$L$20)</f>
        <v/>
      </c>
    </row>
    <row r="44" spans="1:13" x14ac:dyDescent="0.2">
      <c r="A44" s="25" t="s">
        <v>400</v>
      </c>
      <c r="B44" s="26"/>
      <c r="C44" s="31" t="str">
        <f>IF(OR('Summary Op Stmt (Operators)'!$B$20=0,'Summary Op Stmt (Operators)'!$B$20=""),"",B44/'Summary Op Stmt (Operators)'!$B$20)</f>
        <v/>
      </c>
      <c r="D44" s="26"/>
      <c r="E44" s="31" t="str">
        <f>IF(OR('Summary Op Stmt (Operators)'!$D$20=0,'Summary Op Stmt (Operators)'!$D$20=""),"",D44/'Summary Op Stmt (Operators)'!$D$20)</f>
        <v/>
      </c>
      <c r="F44" s="26"/>
      <c r="G44" s="31" t="str">
        <f>IF(OR('Summary Op Stmt (Operators)'!$F$20=0,'Summary Op Stmt (Operators)'!$F$20=""),"",F44/'Summary Op Stmt (Operators)'!$F$20)</f>
        <v/>
      </c>
      <c r="H44" s="26"/>
      <c r="I44" s="31" t="str">
        <f>IF(OR('Summary Op Stmt (Operators)'!$H$20=0,'Summary Op Stmt (Operators)'!$H$20=""),"",H44/'Summary Op Stmt (Operators)'!$H$20)</f>
        <v/>
      </c>
      <c r="J44" s="26"/>
      <c r="K44" s="31" t="str">
        <f>IF(OR('Summary Op Stmt (Operators)'!$J$20=0,'Summary Op Stmt (Operators)'!$J$20=""),"",J44/'Summary Op Stmt (Operators)'!$J$20)</f>
        <v/>
      </c>
      <c r="L44" s="26"/>
      <c r="M44" s="31" t="str">
        <f>IF(OR('Summary Op Stmt (Operators)'!$L$20=0,'Summary Op Stmt (Operators)'!$L$20=""),"",L44/'Summary Op Stmt (Operators)'!$L$20)</f>
        <v/>
      </c>
    </row>
    <row r="45" spans="1:13" x14ac:dyDescent="0.2">
      <c r="A45" s="25" t="s">
        <v>401</v>
      </c>
      <c r="B45" s="26"/>
      <c r="C45" s="31" t="str">
        <f>IF(OR('Summary Op Stmt (Operators)'!$B$20=0,'Summary Op Stmt (Operators)'!$B$20=""),"",B45/'Summary Op Stmt (Operators)'!$B$20)</f>
        <v/>
      </c>
      <c r="D45" s="26"/>
      <c r="E45" s="31" t="str">
        <f>IF(OR('Summary Op Stmt (Operators)'!$D$20=0,'Summary Op Stmt (Operators)'!$D$20=""),"",D45/'Summary Op Stmt (Operators)'!$D$20)</f>
        <v/>
      </c>
      <c r="F45" s="26"/>
      <c r="G45" s="31" t="str">
        <f>IF(OR('Summary Op Stmt (Operators)'!$F$20=0,'Summary Op Stmt (Operators)'!$F$20=""),"",F45/'Summary Op Stmt (Operators)'!$F$20)</f>
        <v/>
      </c>
      <c r="H45" s="26"/>
      <c r="I45" s="31" t="str">
        <f>IF(OR('Summary Op Stmt (Operators)'!$H$20=0,'Summary Op Stmt (Operators)'!$H$20=""),"",H45/'Summary Op Stmt (Operators)'!$H$20)</f>
        <v/>
      </c>
      <c r="J45" s="26"/>
      <c r="K45" s="31" t="str">
        <f>IF(OR('Summary Op Stmt (Operators)'!$J$20=0,'Summary Op Stmt (Operators)'!$J$20=""),"",J45/'Summary Op Stmt (Operators)'!$J$20)</f>
        <v/>
      </c>
      <c r="L45" s="26"/>
      <c r="M45" s="31" t="str">
        <f>IF(OR('Summary Op Stmt (Operators)'!$L$20=0,'Summary Op Stmt (Operators)'!$L$20=""),"",L45/'Summary Op Stmt (Operators)'!$L$20)</f>
        <v/>
      </c>
    </row>
    <row r="46" spans="1:13" x14ac:dyDescent="0.2">
      <c r="A46" s="25" t="s">
        <v>402</v>
      </c>
      <c r="B46" s="26"/>
      <c r="C46" s="31" t="str">
        <f>IF(OR('Summary Op Stmt (Operators)'!$B$20=0,'Summary Op Stmt (Operators)'!$B$20=""),"",B46/'Summary Op Stmt (Operators)'!$B$20)</f>
        <v/>
      </c>
      <c r="D46" s="26"/>
      <c r="E46" s="31" t="str">
        <f>IF(OR('Summary Op Stmt (Operators)'!$D$20=0,'Summary Op Stmt (Operators)'!$D$20=""),"",D46/'Summary Op Stmt (Operators)'!$D$20)</f>
        <v/>
      </c>
      <c r="F46" s="26"/>
      <c r="G46" s="31" t="str">
        <f>IF(OR('Summary Op Stmt (Operators)'!$F$20=0,'Summary Op Stmt (Operators)'!$F$20=""),"",F46/'Summary Op Stmt (Operators)'!$F$20)</f>
        <v/>
      </c>
      <c r="H46" s="26"/>
      <c r="I46" s="31" t="str">
        <f>IF(OR('Summary Op Stmt (Operators)'!$H$20=0,'Summary Op Stmt (Operators)'!$H$20=""),"",H46/'Summary Op Stmt (Operators)'!$H$20)</f>
        <v/>
      </c>
      <c r="J46" s="26"/>
      <c r="K46" s="31" t="str">
        <f>IF(OR('Summary Op Stmt (Operators)'!$J$20=0,'Summary Op Stmt (Operators)'!$J$20=""),"",J46/'Summary Op Stmt (Operators)'!$J$20)</f>
        <v/>
      </c>
      <c r="L46" s="26"/>
      <c r="M46" s="31" t="str">
        <f>IF(OR('Summary Op Stmt (Operators)'!$L$20=0,'Summary Op Stmt (Operators)'!$L$20=""),"",L46/'Summary Op Stmt (Operators)'!$L$20)</f>
        <v/>
      </c>
    </row>
    <row r="47" spans="1:13" x14ac:dyDescent="0.2">
      <c r="A47" s="25" t="s">
        <v>403</v>
      </c>
      <c r="B47" s="26"/>
      <c r="C47" s="31" t="str">
        <f>IF(OR('Summary Op Stmt (Operators)'!$B$20=0,'Summary Op Stmt (Operators)'!$B$20=""),"",B47/'Summary Op Stmt (Operators)'!$B$20)</f>
        <v/>
      </c>
      <c r="D47" s="26"/>
      <c r="E47" s="31" t="str">
        <f>IF(OR('Summary Op Stmt (Operators)'!$D$20=0,'Summary Op Stmt (Operators)'!$D$20=""),"",D47/'Summary Op Stmt (Operators)'!$D$20)</f>
        <v/>
      </c>
      <c r="F47" s="26"/>
      <c r="G47" s="31" t="str">
        <f>IF(OR('Summary Op Stmt (Operators)'!$F$20=0,'Summary Op Stmt (Operators)'!$F$20=""),"",F47/'Summary Op Stmt (Operators)'!$F$20)</f>
        <v/>
      </c>
      <c r="H47" s="26"/>
      <c r="I47" s="31" t="str">
        <f>IF(OR('Summary Op Stmt (Operators)'!$H$20=0,'Summary Op Stmt (Operators)'!$H$20=""),"",H47/'Summary Op Stmt (Operators)'!$H$20)</f>
        <v/>
      </c>
      <c r="J47" s="26"/>
      <c r="K47" s="31" t="str">
        <f>IF(OR('Summary Op Stmt (Operators)'!$J$20=0,'Summary Op Stmt (Operators)'!$J$20=""),"",J47/'Summary Op Stmt (Operators)'!$J$20)</f>
        <v/>
      </c>
      <c r="L47" s="26"/>
      <c r="M47" s="31" t="str">
        <f>IF(OR('Summary Op Stmt (Operators)'!$L$20=0,'Summary Op Stmt (Operators)'!$L$20=""),"",L47/'Summary Op Stmt (Operators)'!$L$20)</f>
        <v/>
      </c>
    </row>
    <row r="48" spans="1:13" x14ac:dyDescent="0.2">
      <c r="A48" s="25" t="s">
        <v>193</v>
      </c>
      <c r="B48" s="26"/>
      <c r="C48" s="31" t="str">
        <f>IF(OR('Summary Op Stmt (Operators)'!$B$20=0,'Summary Op Stmt (Operators)'!$B$20=""),"",B48/'Summary Op Stmt (Operators)'!$B$20)</f>
        <v/>
      </c>
      <c r="D48" s="26"/>
      <c r="E48" s="31" t="str">
        <f>IF(OR('Summary Op Stmt (Operators)'!$D$20=0,'Summary Op Stmt (Operators)'!$D$20=""),"",D48/'Summary Op Stmt (Operators)'!$D$20)</f>
        <v/>
      </c>
      <c r="F48" s="26"/>
      <c r="G48" s="31" t="str">
        <f>IF(OR('Summary Op Stmt (Operators)'!$F$20=0,'Summary Op Stmt (Operators)'!$F$20=""),"",F48/'Summary Op Stmt (Operators)'!$F$20)</f>
        <v/>
      </c>
      <c r="H48" s="26"/>
      <c r="I48" s="31" t="str">
        <f>IF(OR('Summary Op Stmt (Operators)'!$H$20=0,'Summary Op Stmt (Operators)'!$H$20=""),"",H48/'Summary Op Stmt (Operators)'!$H$20)</f>
        <v/>
      </c>
      <c r="J48" s="26"/>
      <c r="K48" s="31" t="str">
        <f>IF(OR('Summary Op Stmt (Operators)'!$J$20=0,'Summary Op Stmt (Operators)'!$J$20=""),"",J48/'Summary Op Stmt (Operators)'!$J$20)</f>
        <v/>
      </c>
      <c r="L48" s="26"/>
      <c r="M48" s="31" t="str">
        <f>IF(OR('Summary Op Stmt (Operators)'!$L$20=0,'Summary Op Stmt (Operators)'!$L$20=""),"",L48/'Summary Op Stmt (Operators)'!$L$20)</f>
        <v/>
      </c>
    </row>
    <row r="49" spans="1:13" x14ac:dyDescent="0.2">
      <c r="A49" s="25" t="s">
        <v>404</v>
      </c>
      <c r="B49" s="26"/>
      <c r="C49" s="31" t="str">
        <f>IF(OR('Summary Op Stmt (Operators)'!$B$20=0,'Summary Op Stmt (Operators)'!$B$20=""),"",B49/'Summary Op Stmt (Operators)'!$B$20)</f>
        <v/>
      </c>
      <c r="D49" s="26"/>
      <c r="E49" s="31" t="str">
        <f>IF(OR('Summary Op Stmt (Operators)'!$D$20=0,'Summary Op Stmt (Operators)'!$D$20=""),"",D49/'Summary Op Stmt (Operators)'!$D$20)</f>
        <v/>
      </c>
      <c r="F49" s="26"/>
      <c r="G49" s="31" t="str">
        <f>IF(OR('Summary Op Stmt (Operators)'!$F$20=0,'Summary Op Stmt (Operators)'!$F$20=""),"",F49/'Summary Op Stmt (Operators)'!$F$20)</f>
        <v/>
      </c>
      <c r="H49" s="26"/>
      <c r="I49" s="31" t="str">
        <f>IF(OR('Summary Op Stmt (Operators)'!$H$20=0,'Summary Op Stmt (Operators)'!$H$20=""),"",H49/'Summary Op Stmt (Operators)'!$H$20)</f>
        <v/>
      </c>
      <c r="J49" s="26"/>
      <c r="K49" s="31" t="str">
        <f>IF(OR('Summary Op Stmt (Operators)'!$J$20=0,'Summary Op Stmt (Operators)'!$J$20=""),"",J49/'Summary Op Stmt (Operators)'!$J$20)</f>
        <v/>
      </c>
      <c r="L49" s="26"/>
      <c r="M49" s="31" t="str">
        <f>IF(OR('Summary Op Stmt (Operators)'!$L$20=0,'Summary Op Stmt (Operators)'!$L$20=""),"",L49/'Summary Op Stmt (Operators)'!$L$20)</f>
        <v/>
      </c>
    </row>
    <row r="50" spans="1:13" x14ac:dyDescent="0.2">
      <c r="A50" s="25" t="s">
        <v>405</v>
      </c>
      <c r="B50" s="26"/>
      <c r="C50" s="31" t="str">
        <f>IF(OR('Summary Op Stmt (Operators)'!$B$20=0,'Summary Op Stmt (Operators)'!$B$20=""),"",B50/'Summary Op Stmt (Operators)'!$B$20)</f>
        <v/>
      </c>
      <c r="D50" s="26"/>
      <c r="E50" s="31" t="str">
        <f>IF(OR('Summary Op Stmt (Operators)'!$D$20=0,'Summary Op Stmt (Operators)'!$D$20=""),"",D50/'Summary Op Stmt (Operators)'!$D$20)</f>
        <v/>
      </c>
      <c r="F50" s="26"/>
      <c r="G50" s="31" t="str">
        <f>IF(OR('Summary Op Stmt (Operators)'!$F$20=0,'Summary Op Stmt (Operators)'!$F$20=""),"",F50/'Summary Op Stmt (Operators)'!$F$20)</f>
        <v/>
      </c>
      <c r="H50" s="26"/>
      <c r="I50" s="31" t="str">
        <f>IF(OR('Summary Op Stmt (Operators)'!$H$20=0,'Summary Op Stmt (Operators)'!$H$20=""),"",H50/'Summary Op Stmt (Operators)'!$H$20)</f>
        <v/>
      </c>
      <c r="J50" s="26"/>
      <c r="K50" s="31" t="str">
        <f>IF(OR('Summary Op Stmt (Operators)'!$J$20=0,'Summary Op Stmt (Operators)'!$J$20=""),"",J50/'Summary Op Stmt (Operators)'!$J$20)</f>
        <v/>
      </c>
      <c r="L50" s="26"/>
      <c r="M50" s="31" t="str">
        <f>IF(OR('Summary Op Stmt (Operators)'!$L$20=0,'Summary Op Stmt (Operators)'!$L$20=""),"",L50/'Summary Op Stmt (Operators)'!$L$20)</f>
        <v/>
      </c>
    </row>
    <row r="51" spans="1:13" x14ac:dyDescent="0.2">
      <c r="A51" s="25" t="s">
        <v>197</v>
      </c>
      <c r="B51" s="26"/>
      <c r="C51" s="31" t="str">
        <f>IF(OR('Summary Op Stmt (Operators)'!$B$20=0,'Summary Op Stmt (Operators)'!$B$20=""),"",B51/'Summary Op Stmt (Operators)'!$B$20)</f>
        <v/>
      </c>
      <c r="D51" s="26"/>
      <c r="E51" s="31" t="str">
        <f>IF(OR('Summary Op Stmt (Operators)'!$D$20=0,'Summary Op Stmt (Operators)'!$D$20=""),"",D51/'Summary Op Stmt (Operators)'!$D$20)</f>
        <v/>
      </c>
      <c r="F51" s="26"/>
      <c r="G51" s="31" t="str">
        <f>IF(OR('Summary Op Stmt (Operators)'!$F$20=0,'Summary Op Stmt (Operators)'!$F$20=""),"",F51/'Summary Op Stmt (Operators)'!$F$20)</f>
        <v/>
      </c>
      <c r="H51" s="26"/>
      <c r="I51" s="31" t="str">
        <f>IF(OR('Summary Op Stmt (Operators)'!$H$20=0,'Summary Op Stmt (Operators)'!$H$20=""),"",H51/'Summary Op Stmt (Operators)'!$H$20)</f>
        <v/>
      </c>
      <c r="J51" s="26"/>
      <c r="K51" s="31" t="str">
        <f>IF(OR('Summary Op Stmt (Operators)'!$J$20=0,'Summary Op Stmt (Operators)'!$J$20=""),"",J51/'Summary Op Stmt (Operators)'!$J$20)</f>
        <v/>
      </c>
      <c r="L51" s="26"/>
      <c r="M51" s="31" t="str">
        <f>IF(OR('Summary Op Stmt (Operators)'!$L$20=0,'Summary Op Stmt (Operators)'!$L$20=""),"",L51/'Summary Op Stmt (Operators)'!$L$20)</f>
        <v/>
      </c>
    </row>
    <row r="52" spans="1:13" x14ac:dyDescent="0.2">
      <c r="A52" s="25" t="s">
        <v>198</v>
      </c>
      <c r="B52" s="26"/>
      <c r="C52" s="31" t="str">
        <f>IF(OR('Summary Op Stmt (Operators)'!$B$20=0,'Summary Op Stmt (Operators)'!$B$20=""),"",B52/'Summary Op Stmt (Operators)'!$B$20)</f>
        <v/>
      </c>
      <c r="D52" s="26"/>
      <c r="E52" s="31" t="str">
        <f>IF(OR('Summary Op Stmt (Operators)'!$D$20=0,'Summary Op Stmt (Operators)'!$D$20=""),"",D52/'Summary Op Stmt (Operators)'!$D$20)</f>
        <v/>
      </c>
      <c r="F52" s="26"/>
      <c r="G52" s="31" t="str">
        <f>IF(OR('Summary Op Stmt (Operators)'!$F$20=0,'Summary Op Stmt (Operators)'!$F$20=""),"",F52/'Summary Op Stmt (Operators)'!$F$20)</f>
        <v/>
      </c>
      <c r="H52" s="26"/>
      <c r="I52" s="31" t="str">
        <f>IF(OR('Summary Op Stmt (Operators)'!$H$20=0,'Summary Op Stmt (Operators)'!$H$20=""),"",H52/'Summary Op Stmt (Operators)'!$H$20)</f>
        <v/>
      </c>
      <c r="J52" s="26"/>
      <c r="K52" s="31" t="str">
        <f>IF(OR('Summary Op Stmt (Operators)'!$J$20=0,'Summary Op Stmt (Operators)'!$J$20=""),"",J52/'Summary Op Stmt (Operators)'!$J$20)</f>
        <v/>
      </c>
      <c r="L52" s="26"/>
      <c r="M52" s="31" t="str">
        <f>IF(OR('Summary Op Stmt (Operators)'!$L$20=0,'Summary Op Stmt (Operators)'!$L$20=""),"",L52/'Summary Op Stmt (Operators)'!$L$20)</f>
        <v/>
      </c>
    </row>
    <row r="53" spans="1:13" x14ac:dyDescent="0.2">
      <c r="A53" s="25" t="s">
        <v>199</v>
      </c>
      <c r="B53" s="26"/>
      <c r="C53" s="31" t="str">
        <f>IF(OR('Summary Op Stmt (Operators)'!$B$20=0,'Summary Op Stmt (Operators)'!$B$20=""),"",B53/'Summary Op Stmt (Operators)'!$B$20)</f>
        <v/>
      </c>
      <c r="D53" s="26"/>
      <c r="E53" s="31" t="str">
        <f>IF(OR('Summary Op Stmt (Operators)'!$D$20=0,'Summary Op Stmt (Operators)'!$D$20=""),"",D53/'Summary Op Stmt (Operators)'!$D$20)</f>
        <v/>
      </c>
      <c r="F53" s="26"/>
      <c r="G53" s="31" t="str">
        <f>IF(OR('Summary Op Stmt (Operators)'!$F$20=0,'Summary Op Stmt (Operators)'!$F$20=""),"",F53/'Summary Op Stmt (Operators)'!$F$20)</f>
        <v/>
      </c>
      <c r="H53" s="26"/>
      <c r="I53" s="31" t="str">
        <f>IF(OR('Summary Op Stmt (Operators)'!$H$20=0,'Summary Op Stmt (Operators)'!$H$20=""),"",H53/'Summary Op Stmt (Operators)'!$H$20)</f>
        <v/>
      </c>
      <c r="J53" s="26"/>
      <c r="K53" s="31" t="str">
        <f>IF(OR('Summary Op Stmt (Operators)'!$J$20=0,'Summary Op Stmt (Operators)'!$J$20=""),"",J53/'Summary Op Stmt (Operators)'!$J$20)</f>
        <v/>
      </c>
      <c r="L53" s="26"/>
      <c r="M53" s="31" t="str">
        <f>IF(OR('Summary Op Stmt (Operators)'!$L$20=0,'Summary Op Stmt (Operators)'!$L$20=""),"",L53/'Summary Op Stmt (Operators)'!$L$20)</f>
        <v/>
      </c>
    </row>
    <row r="54" spans="1:13" x14ac:dyDescent="0.2">
      <c r="A54" s="25" t="s">
        <v>201</v>
      </c>
      <c r="B54" s="26"/>
      <c r="C54" s="31" t="str">
        <f>IF(OR('Summary Op Stmt (Operators)'!$B$20=0,'Summary Op Stmt (Operators)'!$B$20=""),"",B54/'Summary Op Stmt (Operators)'!$B$20)</f>
        <v/>
      </c>
      <c r="D54" s="26"/>
      <c r="E54" s="31" t="str">
        <f>IF(OR('Summary Op Stmt (Operators)'!$D$20=0,'Summary Op Stmt (Operators)'!$D$20=""),"",D54/'Summary Op Stmt (Operators)'!$D$20)</f>
        <v/>
      </c>
      <c r="F54" s="26"/>
      <c r="G54" s="31" t="str">
        <f>IF(OR('Summary Op Stmt (Operators)'!$F$20=0,'Summary Op Stmt (Operators)'!$F$20=""),"",F54/'Summary Op Stmt (Operators)'!$F$20)</f>
        <v/>
      </c>
      <c r="H54" s="26"/>
      <c r="I54" s="31" t="str">
        <f>IF(OR('Summary Op Stmt (Operators)'!$H$20=0,'Summary Op Stmt (Operators)'!$H$20=""),"",H54/'Summary Op Stmt (Operators)'!$H$20)</f>
        <v/>
      </c>
      <c r="J54" s="26"/>
      <c r="K54" s="31" t="str">
        <f>IF(OR('Summary Op Stmt (Operators)'!$J$20=0,'Summary Op Stmt (Operators)'!$J$20=""),"",J54/'Summary Op Stmt (Operators)'!$J$20)</f>
        <v/>
      </c>
      <c r="L54" s="26"/>
      <c r="M54" s="31" t="str">
        <f>IF(OR('Summary Op Stmt (Operators)'!$L$20=0,'Summary Op Stmt (Operators)'!$L$20=""),"",L54/'Summary Op Stmt (Operators)'!$L$20)</f>
        <v/>
      </c>
    </row>
    <row r="55" spans="1:13" x14ac:dyDescent="0.2">
      <c r="A55" s="25" t="s">
        <v>406</v>
      </c>
      <c r="B55" s="26"/>
      <c r="C55" s="31" t="str">
        <f>IF(OR('Summary Op Stmt (Operators)'!$B$20=0,'Summary Op Stmt (Operators)'!$B$20=""),"",B55/'Summary Op Stmt (Operators)'!$B$20)</f>
        <v/>
      </c>
      <c r="D55" s="26"/>
      <c r="E55" s="31" t="str">
        <f>IF(OR('Summary Op Stmt (Operators)'!$D$20=0,'Summary Op Stmt (Operators)'!$D$20=""),"",D55/'Summary Op Stmt (Operators)'!$D$20)</f>
        <v/>
      </c>
      <c r="F55" s="26"/>
      <c r="G55" s="31" t="str">
        <f>IF(OR('Summary Op Stmt (Operators)'!$F$20=0,'Summary Op Stmt (Operators)'!$F$20=""),"",F55/'Summary Op Stmt (Operators)'!$F$20)</f>
        <v/>
      </c>
      <c r="H55" s="26"/>
      <c r="I55" s="31" t="str">
        <f>IF(OR('Summary Op Stmt (Operators)'!$H$20=0,'Summary Op Stmt (Operators)'!$H$20=""),"",H55/'Summary Op Stmt (Operators)'!$H$20)</f>
        <v/>
      </c>
      <c r="J55" s="26"/>
      <c r="K55" s="31" t="str">
        <f>IF(OR('Summary Op Stmt (Operators)'!$J$20=0,'Summary Op Stmt (Operators)'!$J$20=""),"",J55/'Summary Op Stmt (Operators)'!$J$20)</f>
        <v/>
      </c>
      <c r="L55" s="26"/>
      <c r="M55" s="31" t="str">
        <f>IF(OR('Summary Op Stmt (Operators)'!$L$20=0,'Summary Op Stmt (Operators)'!$L$20=""),"",L55/'Summary Op Stmt (Operators)'!$L$20)</f>
        <v/>
      </c>
    </row>
    <row r="56" spans="1:13" x14ac:dyDescent="0.2">
      <c r="A56" s="35" t="s">
        <v>202</v>
      </c>
      <c r="B56" s="36">
        <f>B25+B26+B27+B28+B29+B30+B31+B32+B33+B34+B35+B36+B37+B38+B39+B40+B41+B42+B43+B44+B45+B46+B47+B48+B49+B50+B51+B52+B53+B54+B55</f>
        <v>0</v>
      </c>
      <c r="C56" s="37" t="str">
        <f>IF(OR('Summary Op Stmt (Operators)'!$B$20=0,'Summary Op Stmt (Operators)'!$B$20=""),"",B56/'Summary Op Stmt (Operators)'!$B$20)</f>
        <v/>
      </c>
      <c r="D56" s="36">
        <f>D25+D26+D27+D28+D29+D30+D31+D32+D33+D34+D35+D36+D37+D38+D39+D40+D41+D42+D43+D44+D45+D46+D47+D48+D49+D50+D51+D52+D53+D54+D55</f>
        <v>0</v>
      </c>
      <c r="E56" s="37" t="str">
        <f>IF(OR('Summary Op Stmt (Operators)'!$D$20=0,'Summary Op Stmt (Operators)'!$D$20=""),"",D56/'Summary Op Stmt (Operators)'!$D$20)</f>
        <v/>
      </c>
      <c r="F56" s="36">
        <f>F25+F26+F27+F28+F29+F30+F31+F32+F33+F34+F35+F36+F37+F38+F39+F40+F41+F42+F43+F44+F45+F46+F47+F48+F49+F50+F51+F52+F53+F54+F55</f>
        <v>0</v>
      </c>
      <c r="G56" s="37" t="str">
        <f>IF(OR('Summary Op Stmt (Operators)'!$F$20=0,'Summary Op Stmt (Operators)'!$F$20=""),"",F56/'Summary Op Stmt (Operators)'!$F$20)</f>
        <v/>
      </c>
      <c r="H56" s="36">
        <f>H25+H26+H27+H28+H29+H30+H31+H32+H33+H34+H35+H36+H37+H38+H39+H40+H41+H42+H43+H44+H45+H46+H47+H48+H49+H50+H51+H52+H53+H54+H55</f>
        <v>0</v>
      </c>
      <c r="I56" s="37" t="str">
        <f>IF(OR('Summary Op Stmt (Operators)'!$H$20=0,'Summary Op Stmt (Operators)'!$H$20=""),"",H56/'Summary Op Stmt (Operators)'!$H$20)</f>
        <v/>
      </c>
      <c r="J56" s="36">
        <f>J25+J26+J27+J28+J29+J30+J31+J32+J33+J34+J35+J36+J37+J38+J39+J40+J41+J42+J43+J44+J45+J46+J47+J48+J49+J50+J51+J52+J53+J54+J55</f>
        <v>0</v>
      </c>
      <c r="K56" s="37" t="str">
        <f>IF(OR('Summary Op Stmt (Operators)'!$J$20=0,'Summary Op Stmt (Operators)'!$J$20=""),"",J56/'Summary Op Stmt (Operators)'!$J$20)</f>
        <v/>
      </c>
      <c r="L56" s="36">
        <f>L25+L26+L27+L28+L29+L30+L31+L32+L33+L34+L35+L36+L37+L38+L39+L40+L41+L42+L43+L44+L45+L46+L47+L48+L49+L50+L51+L52+L53+L54+L55</f>
        <v>0</v>
      </c>
      <c r="M56" s="37" t="str">
        <f>IF(OR('Summary Op Stmt (Operators)'!$L$20=0,'Summary Op Stmt (Operators)'!$L$20=""),"",L56/'Summary Op Stmt (Operators)'!$L$20)</f>
        <v/>
      </c>
    </row>
    <row r="57" spans="1:13" x14ac:dyDescent="0.2">
      <c r="A57" s="38" t="s">
        <v>203</v>
      </c>
      <c r="B57" s="39">
        <f>B23+B56</f>
        <v>0</v>
      </c>
      <c r="C57" s="40" t="str">
        <f>IF(OR('Summary Op Stmt (Operators)'!$B$20=0,'Summary Op Stmt (Operators)'!$B$20=""),"",B57/'Summary Op Stmt (Operators)'!$B$20)</f>
        <v/>
      </c>
      <c r="D57" s="39">
        <f>D23+D56</f>
        <v>0</v>
      </c>
      <c r="E57" s="40" t="str">
        <f>IF(OR('Summary Op Stmt (Operators)'!$D$20=0,'Summary Op Stmt (Operators)'!$D$20=""),"",D57/'Summary Op Stmt (Operators)'!$D$20)</f>
        <v/>
      </c>
      <c r="F57" s="39">
        <f>F23+F56</f>
        <v>0</v>
      </c>
      <c r="G57" s="40" t="str">
        <f>IF(OR('Summary Op Stmt (Operators)'!$F$20=0,'Summary Op Stmt (Operators)'!$F$20=""),"",F57/'Summary Op Stmt (Operators)'!$F$20)</f>
        <v/>
      </c>
      <c r="H57" s="39">
        <f>H23+H56</f>
        <v>0</v>
      </c>
      <c r="I57" s="40" t="str">
        <f>IF(OR('Summary Op Stmt (Operators)'!$H$20=0,'Summary Op Stmt (Operators)'!$H$20=""),"",H57/'Summary Op Stmt (Operators)'!$H$20)</f>
        <v/>
      </c>
      <c r="J57" s="39">
        <f>J23+J56</f>
        <v>0</v>
      </c>
      <c r="K57" s="40" t="str">
        <f>IF(OR('Summary Op Stmt (Operators)'!$J$20=0,'Summary Op Stmt (Operators)'!$J$20=""),"",J57/'Summary Op Stmt (Operators)'!$J$20)</f>
        <v/>
      </c>
      <c r="L57" s="39">
        <f>L23+L56</f>
        <v>0</v>
      </c>
      <c r="M57" s="40" t="str">
        <f>IF(OR('Summary Op Stmt (Operators)'!$L$20=0,'Summary Op Stmt (Operators)'!$L$20=""),"",L57/'Summary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3864"/>
  </sheetPr>
  <dimension ref="A1:M57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148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3" t="s">
        <v>149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">
      <c r="A9" s="23" t="s">
        <v>150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">
      <c r="A10" s="23" t="s">
        <v>151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">
      <c r="A11" s="25" t="s">
        <v>152</v>
      </c>
      <c r="B11" s="26"/>
      <c r="D11" s="26"/>
      <c r="F11" s="26"/>
      <c r="H11" s="26"/>
      <c r="J11" s="26"/>
      <c r="L11" s="26"/>
    </row>
    <row r="12" spans="1:13" x14ac:dyDescent="0.2">
      <c r="A12" s="25" t="s">
        <v>153</v>
      </c>
      <c r="B12" s="26"/>
      <c r="D12" s="26"/>
      <c r="F12" s="26"/>
      <c r="H12" s="26"/>
      <c r="J12" s="26"/>
      <c r="L12" s="26"/>
    </row>
    <row r="13" spans="1:13" x14ac:dyDescent="0.2">
      <c r="A13" s="35" t="s">
        <v>160</v>
      </c>
      <c r="B13" s="36">
        <f>B11+B12</f>
        <v>0</v>
      </c>
      <c r="C13" s="41"/>
      <c r="D13" s="36">
        <f>D11+D12</f>
        <v>0</v>
      </c>
      <c r="E13" s="41"/>
      <c r="F13" s="36">
        <f>F11+F12</f>
        <v>0</v>
      </c>
      <c r="G13" s="41"/>
      <c r="H13" s="36">
        <f>H11+H12</f>
        <v>0</v>
      </c>
      <c r="I13" s="41"/>
      <c r="J13" s="36">
        <f>J11+J12</f>
        <v>0</v>
      </c>
      <c r="K13" s="41"/>
      <c r="L13" s="36">
        <f>L11+L12</f>
        <v>0</v>
      </c>
      <c r="M13" s="41"/>
    </row>
    <row r="14" spans="1:13" x14ac:dyDescent="0.2">
      <c r="A14" s="25" t="s">
        <v>161</v>
      </c>
      <c r="B14" s="26"/>
      <c r="D14" s="26"/>
      <c r="F14" s="26"/>
      <c r="H14" s="26"/>
      <c r="J14" s="26"/>
      <c r="L14" s="26"/>
    </row>
    <row r="15" spans="1:13" x14ac:dyDescent="0.2">
      <c r="A15" s="25" t="s">
        <v>162</v>
      </c>
      <c r="B15" s="26"/>
      <c r="D15" s="26"/>
      <c r="F15" s="26"/>
      <c r="H15" s="26"/>
      <c r="J15" s="26"/>
      <c r="L15" s="26"/>
    </row>
    <row r="16" spans="1:13" x14ac:dyDescent="0.2">
      <c r="A16" s="25" t="s">
        <v>163</v>
      </c>
      <c r="B16" s="26"/>
      <c r="D16" s="26"/>
      <c r="F16" s="26"/>
      <c r="H16" s="26"/>
      <c r="J16" s="26"/>
      <c r="L16" s="26"/>
    </row>
    <row r="17" spans="1:13" x14ac:dyDescent="0.2">
      <c r="A17" s="35" t="s">
        <v>164</v>
      </c>
      <c r="B17" s="36">
        <f>B13+B14+B15+B16</f>
        <v>0</v>
      </c>
      <c r="C17" s="37" t="str">
        <f>IF(OR('Summary Op Stmt (Operators)'!$B$20=0,'Summary Op Stmt (Operators)'!$B$20=""),"",B17/'Summary Op Stmt (Operators)'!$B$20)</f>
        <v/>
      </c>
      <c r="D17" s="36">
        <f>D13+D14+D15+D16</f>
        <v>0</v>
      </c>
      <c r="E17" s="37" t="str">
        <f>IF(OR('Summary Op Stmt (Operators)'!$D$20=0,'Summary Op Stmt (Operators)'!$D$20=""),"",D17/'Summary Op Stmt (Operators)'!$D$20)</f>
        <v/>
      </c>
      <c r="F17" s="36">
        <f>F13+F14+F15+F16</f>
        <v>0</v>
      </c>
      <c r="G17" s="37" t="str">
        <f>IF(OR('Summary Op Stmt (Operators)'!$F$20=0,'Summary Op Stmt (Operators)'!$F$20=""),"",F17/'Summary Op Stmt (Operators)'!$F$20)</f>
        <v/>
      </c>
      <c r="H17" s="36">
        <f>H13+H14+H15+H16</f>
        <v>0</v>
      </c>
      <c r="I17" s="37" t="str">
        <f>IF(OR('Summary Op Stmt (Operators)'!$H$20=0,'Summary Op Stmt (Operators)'!$H$20=""),"",H17/'Summary Op Stmt (Operators)'!$H$20)</f>
        <v/>
      </c>
      <c r="J17" s="36">
        <f>J13+J14+J15+J16</f>
        <v>0</v>
      </c>
      <c r="K17" s="37" t="str">
        <f>IF(OR('Summary Op Stmt (Operators)'!$J$20=0,'Summary Op Stmt (Operators)'!$J$20=""),"",J17/'Summary Op Stmt (Operators)'!$J$20)</f>
        <v/>
      </c>
      <c r="L17" s="36">
        <f>L13+L14+L15+L16</f>
        <v>0</v>
      </c>
      <c r="M17" s="37" t="str">
        <f>IF(OR('Summary Op Stmt (Operators)'!$L$20=0,'Summary Op Stmt (Operators)'!$L$20=""),"",L17/'Summary Op Stmt (Operators)'!$L$20)</f>
        <v/>
      </c>
    </row>
    <row r="18" spans="1:13" x14ac:dyDescent="0.2">
      <c r="A18" s="23" t="s">
        <v>165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2">
      <c r="A19" s="25" t="s">
        <v>166</v>
      </c>
      <c r="B19" s="26"/>
      <c r="C19" s="31" t="str">
        <f>IF(OR('Summary Op Stmt (Operators)'!$B$20=0,'Summary Op Stmt (Operators)'!$B$20=""),"",B19/'Summary Op Stmt (Operators)'!$B$20)</f>
        <v/>
      </c>
      <c r="D19" s="26"/>
      <c r="E19" s="31" t="str">
        <f>IF(OR('Summary Op Stmt (Operators)'!$D$20=0,'Summary Op Stmt (Operators)'!$D$20=""),"",D19/'Summary Op Stmt (Operators)'!$D$20)</f>
        <v/>
      </c>
      <c r="F19" s="26"/>
      <c r="G19" s="31" t="str">
        <f>IF(OR('Summary Op Stmt (Operators)'!$F$20=0,'Summary Op Stmt (Operators)'!$F$20=""),"",F19/'Summary Op Stmt (Operators)'!$F$20)</f>
        <v/>
      </c>
      <c r="H19" s="26"/>
      <c r="I19" s="31" t="str">
        <f>IF(OR('Summary Op Stmt (Operators)'!$H$20=0,'Summary Op Stmt (Operators)'!$H$20=""),"",H19/'Summary Op Stmt (Operators)'!$H$20)</f>
        <v/>
      </c>
      <c r="J19" s="26"/>
      <c r="K19" s="31" t="str">
        <f>IF(OR('Summary Op Stmt (Operators)'!$J$20=0,'Summary Op Stmt (Operators)'!$J$20=""),"",J19/'Summary Op Stmt (Operators)'!$J$20)</f>
        <v/>
      </c>
      <c r="L19" s="26"/>
      <c r="M19" s="31" t="str">
        <f>IF(OR('Summary Op Stmt (Operators)'!$L$20=0,'Summary Op Stmt (Operators)'!$L$20=""),"",L19/'Summary Op Stmt (Operators)'!$L$20)</f>
        <v/>
      </c>
    </row>
    <row r="20" spans="1:13" x14ac:dyDescent="0.2">
      <c r="A20" s="25" t="s">
        <v>167</v>
      </c>
      <c r="B20" s="26"/>
      <c r="C20" s="31" t="str">
        <f>IF(OR('Summary Op Stmt (Operators)'!$B$20=0,'Summary Op Stmt (Operators)'!$B$20=""),"",B20/'Summary Op Stmt (Operators)'!$B$20)</f>
        <v/>
      </c>
      <c r="D20" s="26"/>
      <c r="E20" s="31" t="str">
        <f>IF(OR('Summary Op Stmt (Operators)'!$D$20=0,'Summary Op Stmt (Operators)'!$D$20=""),"",D20/'Summary Op Stmt (Operators)'!$D$20)</f>
        <v/>
      </c>
      <c r="F20" s="26"/>
      <c r="G20" s="31" t="str">
        <f>IF(OR('Summary Op Stmt (Operators)'!$F$20=0,'Summary Op Stmt (Operators)'!$F$20=""),"",F20/'Summary Op Stmt (Operators)'!$F$20)</f>
        <v/>
      </c>
      <c r="H20" s="26"/>
      <c r="I20" s="31" t="str">
        <f>IF(OR('Summary Op Stmt (Operators)'!$H$20=0,'Summary Op Stmt (Operators)'!$H$20=""),"",H20/'Summary Op Stmt (Operators)'!$H$20)</f>
        <v/>
      </c>
      <c r="J20" s="26"/>
      <c r="K20" s="31" t="str">
        <f>IF(OR('Summary Op Stmt (Operators)'!$J$20=0,'Summary Op Stmt (Operators)'!$J$20=""),"",J20/'Summary Op Stmt (Operators)'!$J$20)</f>
        <v/>
      </c>
      <c r="L20" s="26"/>
      <c r="M20" s="31" t="str">
        <f>IF(OR('Summary Op Stmt (Operators)'!$L$20=0,'Summary Op Stmt (Operators)'!$L$20=""),"",L20/'Summary Op Stmt (Operators)'!$L$20)</f>
        <v/>
      </c>
    </row>
    <row r="21" spans="1:13" x14ac:dyDescent="0.2">
      <c r="A21" s="25" t="s">
        <v>168</v>
      </c>
      <c r="B21" s="26"/>
      <c r="C21" s="31" t="str">
        <f>IF(OR('Summary Op Stmt (Operators)'!$B$20=0,'Summary Op Stmt (Operators)'!$B$20=""),"",B21/'Summary Op Stmt (Operators)'!$B$20)</f>
        <v/>
      </c>
      <c r="D21" s="26"/>
      <c r="E21" s="31" t="str">
        <f>IF(OR('Summary Op Stmt (Operators)'!$D$20=0,'Summary Op Stmt (Operators)'!$D$20=""),"",D21/'Summary Op Stmt (Operators)'!$D$20)</f>
        <v/>
      </c>
      <c r="F21" s="26"/>
      <c r="G21" s="31" t="str">
        <f>IF(OR('Summary Op Stmt (Operators)'!$F$20=0,'Summary Op Stmt (Operators)'!$F$20=""),"",F21/'Summary Op Stmt (Operators)'!$F$20)</f>
        <v/>
      </c>
      <c r="H21" s="26"/>
      <c r="I21" s="31" t="str">
        <f>IF(OR('Summary Op Stmt (Operators)'!$H$20=0,'Summary Op Stmt (Operators)'!$H$20=""),"",H21/'Summary Op Stmt (Operators)'!$H$20)</f>
        <v/>
      </c>
      <c r="J21" s="26"/>
      <c r="K21" s="31" t="str">
        <f>IF(OR('Summary Op Stmt (Operators)'!$J$20=0,'Summary Op Stmt (Operators)'!$J$20=""),"",J21/'Summary Op Stmt (Operators)'!$J$20)</f>
        <v/>
      </c>
      <c r="L21" s="26"/>
      <c r="M21" s="31" t="str">
        <f>IF(OR('Summary Op Stmt (Operators)'!$L$20=0,'Summary Op Stmt (Operators)'!$L$20=""),"",L21/'Summary Op Stmt (Operators)'!$L$20)</f>
        <v/>
      </c>
    </row>
    <row r="22" spans="1:13" x14ac:dyDescent="0.2">
      <c r="A22" s="35" t="s">
        <v>169</v>
      </c>
      <c r="B22" s="36">
        <f>B19+B20+B21</f>
        <v>0</v>
      </c>
      <c r="C22" s="37" t="str">
        <f>IF(OR('Summary Op Stmt (Operators)'!$B$20=0,'Summary Op Stmt (Operators)'!$B$20=""),"",B22/'Summary Op Stmt (Operators)'!$B$20)</f>
        <v/>
      </c>
      <c r="D22" s="36">
        <f>D19+D20+D21</f>
        <v>0</v>
      </c>
      <c r="E22" s="37" t="str">
        <f>IF(OR('Summary Op Stmt (Operators)'!$D$20=0,'Summary Op Stmt (Operators)'!$D$20=""),"",D22/'Summary Op Stmt (Operators)'!$D$20)</f>
        <v/>
      </c>
      <c r="F22" s="36">
        <f>F19+F20+F21</f>
        <v>0</v>
      </c>
      <c r="G22" s="37" t="str">
        <f>IF(OR('Summary Op Stmt (Operators)'!$F$20=0,'Summary Op Stmt (Operators)'!$F$20=""),"",F22/'Summary Op Stmt (Operators)'!$F$20)</f>
        <v/>
      </c>
      <c r="H22" s="36">
        <f>H19+H20+H21</f>
        <v>0</v>
      </c>
      <c r="I22" s="37" t="str">
        <f>IF(OR('Summary Op Stmt (Operators)'!$H$20=0,'Summary Op Stmt (Operators)'!$H$20=""),"",H22/'Summary Op Stmt (Operators)'!$H$20)</f>
        <v/>
      </c>
      <c r="J22" s="36">
        <f>J19+J20+J21</f>
        <v>0</v>
      </c>
      <c r="K22" s="37" t="str">
        <f>IF(OR('Summary Op Stmt (Operators)'!$J$20=0,'Summary Op Stmt (Operators)'!$J$20=""),"",J22/'Summary Op Stmt (Operators)'!$J$20)</f>
        <v/>
      </c>
      <c r="L22" s="36">
        <f>L19+L20+L21</f>
        <v>0</v>
      </c>
      <c r="M22" s="37" t="str">
        <f>IF(OR('Summary Op Stmt (Operators)'!$L$20=0,'Summary Op Stmt (Operators)'!$L$20=""),"",L22/'Summary Op Stmt (Operators)'!$L$20)</f>
        <v/>
      </c>
    </row>
    <row r="23" spans="1:13" x14ac:dyDescent="0.2">
      <c r="A23" s="35" t="s">
        <v>170</v>
      </c>
      <c r="B23" s="36">
        <f>B17+B22</f>
        <v>0</v>
      </c>
      <c r="C23" s="37" t="str">
        <f>IF(OR('Summary Op Stmt (Operators)'!$B$20=0,'Summary Op Stmt (Operators)'!$B$20=""),"",B23/'Summary Op Stmt (Operators)'!$B$20)</f>
        <v/>
      </c>
      <c r="D23" s="36">
        <f>D17+D22</f>
        <v>0</v>
      </c>
      <c r="E23" s="37" t="str">
        <f>IF(OR('Summary Op Stmt (Operators)'!$D$20=0,'Summary Op Stmt (Operators)'!$D$20=""),"",D23/'Summary Op Stmt (Operators)'!$D$20)</f>
        <v/>
      </c>
      <c r="F23" s="36">
        <f>F17+F22</f>
        <v>0</v>
      </c>
      <c r="G23" s="37" t="str">
        <f>IF(OR('Summary Op Stmt (Operators)'!$F$20=0,'Summary Op Stmt (Operators)'!$F$20=""),"",F23/'Summary Op Stmt (Operators)'!$F$20)</f>
        <v/>
      </c>
      <c r="H23" s="36">
        <f>H17+H22</f>
        <v>0</v>
      </c>
      <c r="I23" s="37" t="str">
        <f>IF(OR('Summary Op Stmt (Operators)'!$H$20=0,'Summary Op Stmt (Operators)'!$H$20=""),"",H23/'Summary Op Stmt (Operators)'!$H$20)</f>
        <v/>
      </c>
      <c r="J23" s="36">
        <f>J17+J22</f>
        <v>0</v>
      </c>
      <c r="K23" s="37" t="str">
        <f>IF(OR('Summary Op Stmt (Operators)'!$J$20=0,'Summary Op Stmt (Operators)'!$J$20=""),"",J23/'Summary Op Stmt (Operators)'!$J$20)</f>
        <v/>
      </c>
      <c r="L23" s="36">
        <f>L17+L22</f>
        <v>0</v>
      </c>
      <c r="M23" s="37" t="str">
        <f>IF(OR('Summary Op Stmt (Operators)'!$L$20=0,'Summary Op Stmt (Operators)'!$L$20=""),"",L23/'Summary Op Stmt (Operators)'!$L$20)</f>
        <v/>
      </c>
    </row>
    <row r="24" spans="1:13" x14ac:dyDescent="0.2">
      <c r="A24" s="23" t="s">
        <v>171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2">
      <c r="A25" s="25" t="s">
        <v>408</v>
      </c>
      <c r="B25" s="26"/>
      <c r="C25" s="31" t="str">
        <f>IF(OR('Summary Op Stmt (Operators)'!$B$20=0,'Summary Op Stmt (Operators)'!$B$20=""),"",B25/'Summary Op Stmt (Operators)'!$B$20)</f>
        <v/>
      </c>
      <c r="D25" s="26"/>
      <c r="E25" s="31" t="str">
        <f>IF(OR('Summary Op Stmt (Operators)'!$D$20=0,'Summary Op Stmt (Operators)'!$D$20=""),"",D25/'Summary Op Stmt (Operators)'!$D$20)</f>
        <v/>
      </c>
      <c r="F25" s="26"/>
      <c r="G25" s="31" t="str">
        <f>IF(OR('Summary Op Stmt (Operators)'!$F$20=0,'Summary Op Stmt (Operators)'!$F$20=""),"",F25/'Summary Op Stmt (Operators)'!$F$20)</f>
        <v/>
      </c>
      <c r="H25" s="26"/>
      <c r="I25" s="31" t="str">
        <f>IF(OR('Summary Op Stmt (Operators)'!$H$20=0,'Summary Op Stmt (Operators)'!$H$20=""),"",H25/'Summary Op Stmt (Operators)'!$H$20)</f>
        <v/>
      </c>
      <c r="J25" s="26"/>
      <c r="K25" s="31" t="str">
        <f>IF(OR('Summary Op Stmt (Operators)'!$J$20=0,'Summary Op Stmt (Operators)'!$J$20=""),"",J25/'Summary Op Stmt (Operators)'!$J$20)</f>
        <v/>
      </c>
      <c r="L25" s="26"/>
      <c r="M25" s="31" t="str">
        <f>IF(OR('Summary Op Stmt (Operators)'!$L$20=0,'Summary Op Stmt (Operators)'!$L$20=""),"",L25/'Summary Op Stmt (Operators)'!$L$20)</f>
        <v/>
      </c>
    </row>
    <row r="26" spans="1:13" x14ac:dyDescent="0.2">
      <c r="A26" s="25" t="s">
        <v>173</v>
      </c>
      <c r="B26" s="26"/>
      <c r="C26" s="31" t="str">
        <f>IF(OR('Summary Op Stmt (Operators)'!$B$20=0,'Summary Op Stmt (Operators)'!$B$20=""),"",B26/'Summary Op Stmt (Operators)'!$B$20)</f>
        <v/>
      </c>
      <c r="D26" s="26"/>
      <c r="E26" s="31" t="str">
        <f>IF(OR('Summary Op Stmt (Operators)'!$D$20=0,'Summary Op Stmt (Operators)'!$D$20=""),"",D26/'Summary Op Stmt (Operators)'!$D$20)</f>
        <v/>
      </c>
      <c r="F26" s="26"/>
      <c r="G26" s="31" t="str">
        <f>IF(OR('Summary Op Stmt (Operators)'!$F$20=0,'Summary Op Stmt (Operators)'!$F$20=""),"",F26/'Summary Op Stmt (Operators)'!$F$20)</f>
        <v/>
      </c>
      <c r="H26" s="26"/>
      <c r="I26" s="31" t="str">
        <f>IF(OR('Summary Op Stmt (Operators)'!$H$20=0,'Summary Op Stmt (Operators)'!$H$20=""),"",H26/'Summary Op Stmt (Operators)'!$H$20)</f>
        <v/>
      </c>
      <c r="J26" s="26"/>
      <c r="K26" s="31" t="str">
        <f>IF(OR('Summary Op Stmt (Operators)'!$J$20=0,'Summary Op Stmt (Operators)'!$J$20=""),"",J26/'Summary Op Stmt (Operators)'!$J$20)</f>
        <v/>
      </c>
      <c r="L26" s="26"/>
      <c r="M26" s="31" t="str">
        <f>IF(OR('Summary Op Stmt (Operators)'!$L$20=0,'Summary Op Stmt (Operators)'!$L$20=""),"",L26/'Summary Op Stmt (Operators)'!$L$20)</f>
        <v/>
      </c>
    </row>
    <row r="27" spans="1:13" x14ac:dyDescent="0.2">
      <c r="A27" s="25" t="s">
        <v>179</v>
      </c>
      <c r="B27" s="26"/>
      <c r="C27" s="31" t="str">
        <f>IF(OR('Summary Op Stmt (Operators)'!$B$20=0,'Summary Op Stmt (Operators)'!$B$20=""),"",B27/'Summary Op Stmt (Operators)'!$B$20)</f>
        <v/>
      </c>
      <c r="D27" s="26"/>
      <c r="E27" s="31" t="str">
        <f>IF(OR('Summary Op Stmt (Operators)'!$D$20=0,'Summary Op Stmt (Operators)'!$D$20=""),"",D27/'Summary Op Stmt (Operators)'!$D$20)</f>
        <v/>
      </c>
      <c r="F27" s="26"/>
      <c r="G27" s="31" t="str">
        <f>IF(OR('Summary Op Stmt (Operators)'!$F$20=0,'Summary Op Stmt (Operators)'!$F$20=""),"",F27/'Summary Op Stmt (Operators)'!$F$20)</f>
        <v/>
      </c>
      <c r="H27" s="26"/>
      <c r="I27" s="31" t="str">
        <f>IF(OR('Summary Op Stmt (Operators)'!$H$20=0,'Summary Op Stmt (Operators)'!$H$20=""),"",H27/'Summary Op Stmt (Operators)'!$H$20)</f>
        <v/>
      </c>
      <c r="J27" s="26"/>
      <c r="K27" s="31" t="str">
        <f>IF(OR('Summary Op Stmt (Operators)'!$J$20=0,'Summary Op Stmt (Operators)'!$J$20=""),"",J27/'Summary Op Stmt (Operators)'!$J$20)</f>
        <v/>
      </c>
      <c r="L27" s="26"/>
      <c r="M27" s="31" t="str">
        <f>IF(OR('Summary Op Stmt (Operators)'!$L$20=0,'Summary Op Stmt (Operators)'!$L$20=""),"",L27/'Summary Op Stmt (Operators)'!$L$20)</f>
        <v/>
      </c>
    </row>
    <row r="28" spans="1:13" x14ac:dyDescent="0.2">
      <c r="A28" s="25" t="s">
        <v>180</v>
      </c>
      <c r="B28" s="26"/>
      <c r="C28" s="31" t="str">
        <f>IF(OR('Summary Op Stmt (Operators)'!$B$20=0,'Summary Op Stmt (Operators)'!$B$20=""),"",B28/'Summary Op Stmt (Operators)'!$B$20)</f>
        <v/>
      </c>
      <c r="D28" s="26"/>
      <c r="E28" s="31" t="str">
        <f>IF(OR('Summary Op Stmt (Operators)'!$D$20=0,'Summary Op Stmt (Operators)'!$D$20=""),"",D28/'Summary Op Stmt (Operators)'!$D$20)</f>
        <v/>
      </c>
      <c r="F28" s="26"/>
      <c r="G28" s="31" t="str">
        <f>IF(OR('Summary Op Stmt (Operators)'!$F$20=0,'Summary Op Stmt (Operators)'!$F$20=""),"",F28/'Summary Op Stmt (Operators)'!$F$20)</f>
        <v/>
      </c>
      <c r="H28" s="26"/>
      <c r="I28" s="31" t="str">
        <f>IF(OR('Summary Op Stmt (Operators)'!$H$20=0,'Summary Op Stmt (Operators)'!$H$20=""),"",H28/'Summary Op Stmt (Operators)'!$H$20)</f>
        <v/>
      </c>
      <c r="J28" s="26"/>
      <c r="K28" s="31" t="str">
        <f>IF(OR('Summary Op Stmt (Operators)'!$J$20=0,'Summary Op Stmt (Operators)'!$J$20=""),"",J28/'Summary Op Stmt (Operators)'!$J$20)</f>
        <v/>
      </c>
      <c r="L28" s="26"/>
      <c r="M28" s="31" t="str">
        <f>IF(OR('Summary Op Stmt (Operators)'!$L$20=0,'Summary Op Stmt (Operators)'!$L$20=""),"",L28/'Summary Op Stmt (Operators)'!$L$20)</f>
        <v/>
      </c>
    </row>
    <row r="29" spans="1:13" x14ac:dyDescent="0.2">
      <c r="A29" s="25" t="s">
        <v>182</v>
      </c>
      <c r="B29" s="26"/>
      <c r="C29" s="31" t="str">
        <f>IF(OR('Summary Op Stmt (Operators)'!$B$20=0,'Summary Op Stmt (Operators)'!$B$20=""),"",B29/'Summary Op Stmt (Operators)'!$B$20)</f>
        <v/>
      </c>
      <c r="D29" s="26"/>
      <c r="E29" s="31" t="str">
        <f>IF(OR('Summary Op Stmt (Operators)'!$D$20=0,'Summary Op Stmt (Operators)'!$D$20=""),"",D29/'Summary Op Stmt (Operators)'!$D$20)</f>
        <v/>
      </c>
      <c r="F29" s="26"/>
      <c r="G29" s="31" t="str">
        <f>IF(OR('Summary Op Stmt (Operators)'!$F$20=0,'Summary Op Stmt (Operators)'!$F$20=""),"",F29/'Summary Op Stmt (Operators)'!$F$20)</f>
        <v/>
      </c>
      <c r="H29" s="26"/>
      <c r="I29" s="31" t="str">
        <f>IF(OR('Summary Op Stmt (Operators)'!$H$20=0,'Summary Op Stmt (Operators)'!$H$20=""),"",H29/'Summary Op Stmt (Operators)'!$H$20)</f>
        <v/>
      </c>
      <c r="J29" s="26"/>
      <c r="K29" s="31" t="str">
        <f>IF(OR('Summary Op Stmt (Operators)'!$J$20=0,'Summary Op Stmt (Operators)'!$J$20=""),"",J29/'Summary Op Stmt (Operators)'!$J$20)</f>
        <v/>
      </c>
      <c r="L29" s="26"/>
      <c r="M29" s="31" t="str">
        <f>IF(OR('Summary Op Stmt (Operators)'!$L$20=0,'Summary Op Stmt (Operators)'!$L$20=""),"",L29/'Summary Op Stmt (Operators)'!$L$20)</f>
        <v/>
      </c>
    </row>
    <row r="30" spans="1:13" x14ac:dyDescent="0.2">
      <c r="A30" s="25" t="s">
        <v>409</v>
      </c>
      <c r="B30" s="26"/>
      <c r="C30" s="31" t="str">
        <f>IF(OR('Summary Op Stmt (Operators)'!$B$20=0,'Summary Op Stmt (Operators)'!$B$20=""),"",B30/'Summary Op Stmt (Operators)'!$B$20)</f>
        <v/>
      </c>
      <c r="D30" s="26"/>
      <c r="E30" s="31" t="str">
        <f>IF(OR('Summary Op Stmt (Operators)'!$D$20=0,'Summary Op Stmt (Operators)'!$D$20=""),"",D30/'Summary Op Stmt (Operators)'!$D$20)</f>
        <v/>
      </c>
      <c r="F30" s="26"/>
      <c r="G30" s="31" t="str">
        <f>IF(OR('Summary Op Stmt (Operators)'!$F$20=0,'Summary Op Stmt (Operators)'!$F$20=""),"",F30/'Summary Op Stmt (Operators)'!$F$20)</f>
        <v/>
      </c>
      <c r="H30" s="26"/>
      <c r="I30" s="31" t="str">
        <f>IF(OR('Summary Op Stmt (Operators)'!$H$20=0,'Summary Op Stmt (Operators)'!$H$20=""),"",H30/'Summary Op Stmt (Operators)'!$H$20)</f>
        <v/>
      </c>
      <c r="J30" s="26"/>
      <c r="K30" s="31" t="str">
        <f>IF(OR('Summary Op Stmt (Operators)'!$J$20=0,'Summary Op Stmt (Operators)'!$J$20=""),"",J30/'Summary Op Stmt (Operators)'!$J$20)</f>
        <v/>
      </c>
      <c r="L30" s="26"/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410</v>
      </c>
      <c r="B31" s="26"/>
      <c r="C31" s="31" t="str">
        <f>IF(OR('Summary Op Stmt (Operators)'!$B$20=0,'Summary Op Stmt (Operators)'!$B$20=""),"",B31/'Summary Op Stmt (Operators)'!$B$20)</f>
        <v/>
      </c>
      <c r="D31" s="26"/>
      <c r="E31" s="31" t="str">
        <f>IF(OR('Summary Op Stmt (Operators)'!$D$20=0,'Summary Op Stmt (Operators)'!$D$20=""),"",D31/'Summary Op Stmt (Operators)'!$D$20)</f>
        <v/>
      </c>
      <c r="F31" s="26"/>
      <c r="G31" s="31" t="str">
        <f>IF(OR('Summary Op Stmt (Operators)'!$F$20=0,'Summary Op Stmt (Operators)'!$F$20=""),"",F31/'Summary Op Stmt (Operators)'!$F$20)</f>
        <v/>
      </c>
      <c r="H31" s="26"/>
      <c r="I31" s="31" t="str">
        <f>IF(OR('Summary Op Stmt (Operators)'!$H$20=0,'Summary Op Stmt (Operators)'!$H$20=""),"",H31/'Summary Op Stmt (Operators)'!$H$20)</f>
        <v/>
      </c>
      <c r="J31" s="26"/>
      <c r="K31" s="31" t="str">
        <f>IF(OR('Summary Op Stmt (Operators)'!$J$20=0,'Summary Op Stmt (Operators)'!$J$20=""),"",J31/'Summary Op Stmt (Operators)'!$J$20)</f>
        <v/>
      </c>
      <c r="L31" s="26"/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25" t="s">
        <v>411</v>
      </c>
      <c r="B32" s="26"/>
      <c r="C32" s="31" t="str">
        <f>IF(OR('Summary Op Stmt (Operators)'!$B$20=0,'Summary Op Stmt (Operators)'!$B$20=""),"",B32/'Summary Op Stmt (Operators)'!$B$20)</f>
        <v/>
      </c>
      <c r="D32" s="26"/>
      <c r="E32" s="31" t="str">
        <f>IF(OR('Summary Op Stmt (Operators)'!$D$20=0,'Summary Op Stmt (Operators)'!$D$20=""),"",D32/'Summary Op Stmt (Operators)'!$D$20)</f>
        <v/>
      </c>
      <c r="F32" s="26"/>
      <c r="G32" s="31" t="str">
        <f>IF(OR('Summary Op Stmt (Operators)'!$F$20=0,'Summary Op Stmt (Operators)'!$F$20=""),"",F32/'Summary Op Stmt (Operators)'!$F$20)</f>
        <v/>
      </c>
      <c r="H32" s="26"/>
      <c r="I32" s="31" t="str">
        <f>IF(OR('Summary Op Stmt (Operators)'!$H$20=0,'Summary Op Stmt (Operators)'!$H$20=""),"",H32/'Summary Op Stmt (Operators)'!$H$20)</f>
        <v/>
      </c>
      <c r="J32" s="26"/>
      <c r="K32" s="31" t="str">
        <f>IF(OR('Summary Op Stmt (Operators)'!$J$20=0,'Summary Op Stmt (Operators)'!$J$20=""),"",J32/'Summary Op Stmt (Operators)'!$J$20)</f>
        <v/>
      </c>
      <c r="L32" s="26"/>
      <c r="M32" s="31" t="str">
        <f>IF(OR('Summary Op Stmt (Operators)'!$L$20=0,'Summary Op Stmt (Operators)'!$L$20=""),"",L32/'Summary Op Stmt (Operators)'!$L$20)</f>
        <v/>
      </c>
    </row>
    <row r="33" spans="1:13" x14ac:dyDescent="0.2">
      <c r="A33" s="25" t="s">
        <v>183</v>
      </c>
      <c r="B33" s="26"/>
      <c r="C33" s="31" t="str">
        <f>IF(OR('Summary Op Stmt (Operators)'!$B$20=0,'Summary Op Stmt (Operators)'!$B$20=""),"",B33/'Summary Op Stmt (Operators)'!$B$20)</f>
        <v/>
      </c>
      <c r="D33" s="26"/>
      <c r="E33" s="31" t="str">
        <f>IF(OR('Summary Op Stmt (Operators)'!$D$20=0,'Summary Op Stmt (Operators)'!$D$20=""),"",D33/'Summary Op Stmt (Operators)'!$D$20)</f>
        <v/>
      </c>
      <c r="F33" s="26"/>
      <c r="G33" s="31" t="str">
        <f>IF(OR('Summary Op Stmt (Operators)'!$F$20=0,'Summary Op Stmt (Operators)'!$F$20=""),"",F33/'Summary Op Stmt (Operators)'!$F$20)</f>
        <v/>
      </c>
      <c r="H33" s="26"/>
      <c r="I33" s="31" t="str">
        <f>IF(OR('Summary Op Stmt (Operators)'!$H$20=0,'Summary Op Stmt (Operators)'!$H$20=""),"",H33/'Summary Op Stmt (Operators)'!$H$20)</f>
        <v/>
      </c>
      <c r="J33" s="26"/>
      <c r="K33" s="31" t="str">
        <f>IF(OR('Summary Op Stmt (Operators)'!$J$20=0,'Summary Op Stmt (Operators)'!$J$20=""),"",J33/'Summary Op Stmt (Operators)'!$J$20)</f>
        <v/>
      </c>
      <c r="L33" s="26"/>
      <c r="M33" s="31" t="str">
        <f>IF(OR('Summary Op Stmt (Operators)'!$L$20=0,'Summary Op Stmt (Operators)'!$L$20=""),"",L33/'Summary Op Stmt (Operators)'!$L$20)</f>
        <v/>
      </c>
    </row>
    <row r="34" spans="1:13" x14ac:dyDescent="0.2">
      <c r="A34" s="25" t="s">
        <v>184</v>
      </c>
      <c r="B34" s="26"/>
      <c r="C34" s="31" t="str">
        <f>IF(OR('Summary Op Stmt (Operators)'!$B$20=0,'Summary Op Stmt (Operators)'!$B$20=""),"",B34/'Summary Op Stmt (Operators)'!$B$20)</f>
        <v/>
      </c>
      <c r="D34" s="26"/>
      <c r="E34" s="31" t="str">
        <f>IF(OR('Summary Op Stmt (Operators)'!$D$20=0,'Summary Op Stmt (Operators)'!$D$20=""),"",D34/'Summary Op Stmt (Operators)'!$D$20)</f>
        <v/>
      </c>
      <c r="F34" s="26"/>
      <c r="G34" s="31" t="str">
        <f>IF(OR('Summary Op Stmt (Operators)'!$F$20=0,'Summary Op Stmt (Operators)'!$F$20=""),"",F34/'Summary Op Stmt (Operators)'!$F$20)</f>
        <v/>
      </c>
      <c r="H34" s="26"/>
      <c r="I34" s="31" t="str">
        <f>IF(OR('Summary Op Stmt (Operators)'!$H$20=0,'Summary Op Stmt (Operators)'!$H$20=""),"",H34/'Summary Op Stmt (Operators)'!$H$20)</f>
        <v/>
      </c>
      <c r="J34" s="26"/>
      <c r="K34" s="31" t="str">
        <f>IF(OR('Summary Op Stmt (Operators)'!$J$20=0,'Summary Op Stmt (Operators)'!$J$20=""),"",J34/'Summary Op Stmt (Operators)'!$J$20)</f>
        <v/>
      </c>
      <c r="L34" s="26"/>
      <c r="M34" s="31" t="str">
        <f>IF(OR('Summary Op Stmt (Operators)'!$L$20=0,'Summary Op Stmt (Operators)'!$L$20=""),"",L34/'Summary Op Stmt (Operators)'!$L$20)</f>
        <v/>
      </c>
    </row>
    <row r="35" spans="1:13" x14ac:dyDescent="0.2">
      <c r="A35" s="25" t="s">
        <v>412</v>
      </c>
      <c r="B35" s="26"/>
      <c r="C35" s="31" t="str">
        <f>IF(OR('Summary Op Stmt (Operators)'!$B$20=0,'Summary Op Stmt (Operators)'!$B$20=""),"",B35/'Summary Op Stmt (Operators)'!$B$20)</f>
        <v/>
      </c>
      <c r="D35" s="26"/>
      <c r="E35" s="31" t="str">
        <f>IF(OR('Summary Op Stmt (Operators)'!$D$20=0,'Summary Op Stmt (Operators)'!$D$20=""),"",D35/'Summary Op Stmt (Operators)'!$D$20)</f>
        <v/>
      </c>
      <c r="F35" s="26"/>
      <c r="G35" s="31" t="str">
        <f>IF(OR('Summary Op Stmt (Operators)'!$F$20=0,'Summary Op Stmt (Operators)'!$F$20=""),"",F35/'Summary Op Stmt (Operators)'!$F$20)</f>
        <v/>
      </c>
      <c r="H35" s="26"/>
      <c r="I35" s="31" t="str">
        <f>IF(OR('Summary Op Stmt (Operators)'!$H$20=0,'Summary Op Stmt (Operators)'!$H$20=""),"",H35/'Summary Op Stmt (Operators)'!$H$20)</f>
        <v/>
      </c>
      <c r="J35" s="26"/>
      <c r="K35" s="31" t="str">
        <f>IF(OR('Summary Op Stmt (Operators)'!$J$20=0,'Summary Op Stmt (Operators)'!$J$20=""),"",J35/'Summary Op Stmt (Operators)'!$J$20)</f>
        <v/>
      </c>
      <c r="L35" s="26"/>
      <c r="M35" s="31" t="str">
        <f>IF(OR('Summary Op Stmt (Operators)'!$L$20=0,'Summary Op Stmt (Operators)'!$L$20=""),"",L35/'Summary Op Stmt (Operators)'!$L$20)</f>
        <v/>
      </c>
    </row>
    <row r="36" spans="1:13" x14ac:dyDescent="0.2">
      <c r="A36" s="25" t="s">
        <v>413</v>
      </c>
      <c r="B36" s="26"/>
      <c r="C36" s="31" t="str">
        <f>IF(OR('Summary Op Stmt (Operators)'!$B$20=0,'Summary Op Stmt (Operators)'!$B$20=""),"",B36/'Summary Op Stmt (Operators)'!$B$20)</f>
        <v/>
      </c>
      <c r="D36" s="26"/>
      <c r="E36" s="31" t="str">
        <f>IF(OR('Summary Op Stmt (Operators)'!$D$20=0,'Summary Op Stmt (Operators)'!$D$20=""),"",D36/'Summary Op Stmt (Operators)'!$D$20)</f>
        <v/>
      </c>
      <c r="F36" s="26"/>
      <c r="G36" s="31" t="str">
        <f>IF(OR('Summary Op Stmt (Operators)'!$F$20=0,'Summary Op Stmt (Operators)'!$F$20=""),"",F36/'Summary Op Stmt (Operators)'!$F$20)</f>
        <v/>
      </c>
      <c r="H36" s="26"/>
      <c r="I36" s="31" t="str">
        <f>IF(OR('Summary Op Stmt (Operators)'!$H$20=0,'Summary Op Stmt (Operators)'!$H$20=""),"",H36/'Summary Op Stmt (Operators)'!$H$20)</f>
        <v/>
      </c>
      <c r="J36" s="26"/>
      <c r="K36" s="31" t="str">
        <f>IF(OR('Summary Op Stmt (Operators)'!$J$20=0,'Summary Op Stmt (Operators)'!$J$20=""),"",J36/'Summary Op Stmt (Operators)'!$J$20)</f>
        <v/>
      </c>
      <c r="L36" s="26"/>
      <c r="M36" s="31" t="str">
        <f>IF(OR('Summary Op Stmt (Operators)'!$L$20=0,'Summary Op Stmt (Operators)'!$L$20=""),"",L36/'Summary Op Stmt (Operators)'!$L$20)</f>
        <v/>
      </c>
    </row>
    <row r="37" spans="1:13" x14ac:dyDescent="0.2">
      <c r="A37" s="25" t="s">
        <v>291</v>
      </c>
      <c r="B37" s="26"/>
      <c r="C37" s="31" t="str">
        <f>IF(OR('Summary Op Stmt (Operators)'!$B$20=0,'Summary Op Stmt (Operators)'!$B$20=""),"",B37/'Summary Op Stmt (Operators)'!$B$20)</f>
        <v/>
      </c>
      <c r="D37" s="26"/>
      <c r="E37" s="31" t="str">
        <f>IF(OR('Summary Op Stmt (Operators)'!$D$20=0,'Summary Op Stmt (Operators)'!$D$20=""),"",D37/'Summary Op Stmt (Operators)'!$D$20)</f>
        <v/>
      </c>
      <c r="F37" s="26"/>
      <c r="G37" s="31" t="str">
        <f>IF(OR('Summary Op Stmt (Operators)'!$F$20=0,'Summary Op Stmt (Operators)'!$F$20=""),"",F37/'Summary Op Stmt (Operators)'!$F$20)</f>
        <v/>
      </c>
      <c r="H37" s="26"/>
      <c r="I37" s="31" t="str">
        <f>IF(OR('Summary Op Stmt (Operators)'!$H$20=0,'Summary Op Stmt (Operators)'!$H$20=""),"",H37/'Summary Op Stmt (Operators)'!$H$20)</f>
        <v/>
      </c>
      <c r="J37" s="26"/>
      <c r="K37" s="31" t="str">
        <f>IF(OR('Summary Op Stmt (Operators)'!$J$20=0,'Summary Op Stmt (Operators)'!$J$20=""),"",J37/'Summary Op Stmt (Operators)'!$J$20)</f>
        <v/>
      </c>
      <c r="L37" s="26"/>
      <c r="M37" s="31" t="str">
        <f>IF(OR('Summary Op Stmt (Operators)'!$L$20=0,'Summary Op Stmt (Operators)'!$L$20=""),"",L37/'Summary Op Stmt (Operators)'!$L$20)</f>
        <v/>
      </c>
    </row>
    <row r="38" spans="1:13" x14ac:dyDescent="0.2">
      <c r="A38" s="25" t="s">
        <v>414</v>
      </c>
      <c r="B38" s="26"/>
      <c r="C38" s="31" t="str">
        <f>IF(OR('Summary Op Stmt (Operators)'!$B$20=0,'Summary Op Stmt (Operators)'!$B$20=""),"",B38/'Summary Op Stmt (Operators)'!$B$20)</f>
        <v/>
      </c>
      <c r="D38" s="26"/>
      <c r="E38" s="31" t="str">
        <f>IF(OR('Summary Op Stmt (Operators)'!$D$20=0,'Summary Op Stmt (Operators)'!$D$20=""),"",D38/'Summary Op Stmt (Operators)'!$D$20)</f>
        <v/>
      </c>
      <c r="F38" s="26"/>
      <c r="G38" s="31" t="str">
        <f>IF(OR('Summary Op Stmt (Operators)'!$F$20=0,'Summary Op Stmt (Operators)'!$F$20=""),"",F38/'Summary Op Stmt (Operators)'!$F$20)</f>
        <v/>
      </c>
      <c r="H38" s="26"/>
      <c r="I38" s="31" t="str">
        <f>IF(OR('Summary Op Stmt (Operators)'!$H$20=0,'Summary Op Stmt (Operators)'!$H$20=""),"",H38/'Summary Op Stmt (Operators)'!$H$20)</f>
        <v/>
      </c>
      <c r="J38" s="26"/>
      <c r="K38" s="31" t="str">
        <f>IF(OR('Summary Op Stmt (Operators)'!$J$20=0,'Summary Op Stmt (Operators)'!$J$20=""),"",J38/'Summary Op Stmt (Operators)'!$J$20)</f>
        <v/>
      </c>
      <c r="L38" s="26"/>
      <c r="M38" s="31" t="str">
        <f>IF(OR('Summary Op Stmt (Operators)'!$L$20=0,'Summary Op Stmt (Operators)'!$L$20=""),"",L38/'Summary Op Stmt (Operators)'!$L$20)</f>
        <v/>
      </c>
    </row>
    <row r="39" spans="1:13" x14ac:dyDescent="0.2">
      <c r="A39" s="25" t="s">
        <v>415</v>
      </c>
      <c r="B39" s="26"/>
      <c r="C39" s="31" t="str">
        <f>IF(OR('Summary Op Stmt (Operators)'!$B$20=0,'Summary Op Stmt (Operators)'!$B$20=""),"",B39/'Summary Op Stmt (Operators)'!$B$20)</f>
        <v/>
      </c>
      <c r="D39" s="26"/>
      <c r="E39" s="31" t="str">
        <f>IF(OR('Summary Op Stmt (Operators)'!$D$20=0,'Summary Op Stmt (Operators)'!$D$20=""),"",D39/'Summary Op Stmt (Operators)'!$D$20)</f>
        <v/>
      </c>
      <c r="F39" s="26"/>
      <c r="G39" s="31" t="str">
        <f>IF(OR('Summary Op Stmt (Operators)'!$F$20=0,'Summary Op Stmt (Operators)'!$F$20=""),"",F39/'Summary Op Stmt (Operators)'!$F$20)</f>
        <v/>
      </c>
      <c r="H39" s="26"/>
      <c r="I39" s="31" t="str">
        <f>IF(OR('Summary Op Stmt (Operators)'!$H$20=0,'Summary Op Stmt (Operators)'!$H$20=""),"",H39/'Summary Op Stmt (Operators)'!$H$20)</f>
        <v/>
      </c>
      <c r="J39" s="26"/>
      <c r="K39" s="31" t="str">
        <f>IF(OR('Summary Op Stmt (Operators)'!$J$20=0,'Summary Op Stmt (Operators)'!$J$20=""),"",J39/'Summary Op Stmt (Operators)'!$J$20)</f>
        <v/>
      </c>
      <c r="L39" s="26"/>
      <c r="M39" s="31" t="str">
        <f>IF(OR('Summary Op Stmt (Operators)'!$L$20=0,'Summary Op Stmt (Operators)'!$L$20=""),"",L39/'Summary Op Stmt (Operators)'!$L$20)</f>
        <v/>
      </c>
    </row>
    <row r="40" spans="1:13" x14ac:dyDescent="0.2">
      <c r="A40" s="25" t="s">
        <v>416</v>
      </c>
      <c r="B40" s="26"/>
      <c r="C40" s="31" t="str">
        <f>IF(OR('Summary Op Stmt (Operators)'!$B$20=0,'Summary Op Stmt (Operators)'!$B$20=""),"",B40/'Summary Op Stmt (Operators)'!$B$20)</f>
        <v/>
      </c>
      <c r="D40" s="26"/>
      <c r="E40" s="31" t="str">
        <f>IF(OR('Summary Op Stmt (Operators)'!$D$20=0,'Summary Op Stmt (Operators)'!$D$20=""),"",D40/'Summary Op Stmt (Operators)'!$D$20)</f>
        <v/>
      </c>
      <c r="F40" s="26"/>
      <c r="G40" s="31" t="str">
        <f>IF(OR('Summary Op Stmt (Operators)'!$F$20=0,'Summary Op Stmt (Operators)'!$F$20=""),"",F40/'Summary Op Stmt (Operators)'!$F$20)</f>
        <v/>
      </c>
      <c r="H40" s="26"/>
      <c r="I40" s="31" t="str">
        <f>IF(OR('Summary Op Stmt (Operators)'!$H$20=0,'Summary Op Stmt (Operators)'!$H$20=""),"",H40/'Summary Op Stmt (Operators)'!$H$20)</f>
        <v/>
      </c>
      <c r="J40" s="26"/>
      <c r="K40" s="31" t="str">
        <f>IF(OR('Summary Op Stmt (Operators)'!$J$20=0,'Summary Op Stmt (Operators)'!$J$20=""),"",J40/'Summary Op Stmt (Operators)'!$J$20)</f>
        <v/>
      </c>
      <c r="L40" s="26"/>
      <c r="M40" s="31" t="str">
        <f>IF(OR('Summary Op Stmt (Operators)'!$L$20=0,'Summary Op Stmt (Operators)'!$L$20=""),"",L40/'Summary Op Stmt (Operators)'!$L$20)</f>
        <v/>
      </c>
    </row>
    <row r="41" spans="1:13" x14ac:dyDescent="0.2">
      <c r="A41" s="25" t="s">
        <v>189</v>
      </c>
      <c r="B41" s="26"/>
      <c r="C41" s="31" t="str">
        <f>IF(OR('Summary Op Stmt (Operators)'!$B$20=0,'Summary Op Stmt (Operators)'!$B$20=""),"",B41/'Summary Op Stmt (Operators)'!$B$20)</f>
        <v/>
      </c>
      <c r="D41" s="26"/>
      <c r="E41" s="31" t="str">
        <f>IF(OR('Summary Op Stmt (Operators)'!$D$20=0,'Summary Op Stmt (Operators)'!$D$20=""),"",D41/'Summary Op Stmt (Operators)'!$D$20)</f>
        <v/>
      </c>
      <c r="F41" s="26"/>
      <c r="G41" s="31" t="str">
        <f>IF(OR('Summary Op Stmt (Operators)'!$F$20=0,'Summary Op Stmt (Operators)'!$F$20=""),"",F41/'Summary Op Stmt (Operators)'!$F$20)</f>
        <v/>
      </c>
      <c r="H41" s="26"/>
      <c r="I41" s="31" t="str">
        <f>IF(OR('Summary Op Stmt (Operators)'!$H$20=0,'Summary Op Stmt (Operators)'!$H$20=""),"",H41/'Summary Op Stmt (Operators)'!$H$20)</f>
        <v/>
      </c>
      <c r="J41" s="26"/>
      <c r="K41" s="31" t="str">
        <f>IF(OR('Summary Op Stmt (Operators)'!$J$20=0,'Summary Op Stmt (Operators)'!$J$20=""),"",J41/'Summary Op Stmt (Operators)'!$J$20)</f>
        <v/>
      </c>
      <c r="L41" s="26"/>
      <c r="M41" s="31" t="str">
        <f>IF(OR('Summary Op Stmt (Operators)'!$L$20=0,'Summary Op Stmt (Operators)'!$L$20=""),"",L41/'Summary Op Stmt (Operators)'!$L$20)</f>
        <v/>
      </c>
    </row>
    <row r="42" spans="1:13" x14ac:dyDescent="0.2">
      <c r="A42" s="25" t="s">
        <v>417</v>
      </c>
      <c r="B42" s="26"/>
      <c r="C42" s="31" t="str">
        <f>IF(OR('Summary Op Stmt (Operators)'!$B$20=0,'Summary Op Stmt (Operators)'!$B$20=""),"",B42/'Summary Op Stmt (Operators)'!$B$20)</f>
        <v/>
      </c>
      <c r="D42" s="26"/>
      <c r="E42" s="31" t="str">
        <f>IF(OR('Summary Op Stmt (Operators)'!$D$20=0,'Summary Op Stmt (Operators)'!$D$20=""),"",D42/'Summary Op Stmt (Operators)'!$D$20)</f>
        <v/>
      </c>
      <c r="F42" s="26"/>
      <c r="G42" s="31" t="str">
        <f>IF(OR('Summary Op Stmt (Operators)'!$F$20=0,'Summary Op Stmt (Operators)'!$F$20=""),"",F42/'Summary Op Stmt (Operators)'!$F$20)</f>
        <v/>
      </c>
      <c r="H42" s="26"/>
      <c r="I42" s="31" t="str">
        <f>IF(OR('Summary Op Stmt (Operators)'!$H$20=0,'Summary Op Stmt (Operators)'!$H$20=""),"",H42/'Summary Op Stmt (Operators)'!$H$20)</f>
        <v/>
      </c>
      <c r="J42" s="26"/>
      <c r="K42" s="31" t="str">
        <f>IF(OR('Summary Op Stmt (Operators)'!$J$20=0,'Summary Op Stmt (Operators)'!$J$20=""),"",J42/'Summary Op Stmt (Operators)'!$J$20)</f>
        <v/>
      </c>
      <c r="L42" s="26"/>
      <c r="M42" s="31" t="str">
        <f>IF(OR('Summary Op Stmt (Operators)'!$L$20=0,'Summary Op Stmt (Operators)'!$L$20=""),"",L42/'Summary Op Stmt (Operators)'!$L$20)</f>
        <v/>
      </c>
    </row>
    <row r="43" spans="1:13" x14ac:dyDescent="0.2">
      <c r="A43" s="25" t="s">
        <v>418</v>
      </c>
      <c r="B43" s="26"/>
      <c r="C43" s="31" t="str">
        <f>IF(OR('Summary Op Stmt (Operators)'!$B$20=0,'Summary Op Stmt (Operators)'!$B$20=""),"",B43/'Summary Op Stmt (Operators)'!$B$20)</f>
        <v/>
      </c>
      <c r="D43" s="26"/>
      <c r="E43" s="31" t="str">
        <f>IF(OR('Summary Op Stmt (Operators)'!$D$20=0,'Summary Op Stmt (Operators)'!$D$20=""),"",D43/'Summary Op Stmt (Operators)'!$D$20)</f>
        <v/>
      </c>
      <c r="F43" s="26"/>
      <c r="G43" s="31" t="str">
        <f>IF(OR('Summary Op Stmt (Operators)'!$F$20=0,'Summary Op Stmt (Operators)'!$F$20=""),"",F43/'Summary Op Stmt (Operators)'!$F$20)</f>
        <v/>
      </c>
      <c r="H43" s="26"/>
      <c r="I43" s="31" t="str">
        <f>IF(OR('Summary Op Stmt (Operators)'!$H$20=0,'Summary Op Stmt (Operators)'!$H$20=""),"",H43/'Summary Op Stmt (Operators)'!$H$20)</f>
        <v/>
      </c>
      <c r="J43" s="26"/>
      <c r="K43" s="31" t="str">
        <f>IF(OR('Summary Op Stmt (Operators)'!$J$20=0,'Summary Op Stmt (Operators)'!$J$20=""),"",J43/'Summary Op Stmt (Operators)'!$J$20)</f>
        <v/>
      </c>
      <c r="L43" s="26"/>
      <c r="M43" s="31" t="str">
        <f>IF(OR('Summary Op Stmt (Operators)'!$L$20=0,'Summary Op Stmt (Operators)'!$L$20=""),"",L43/'Summary Op Stmt (Operators)'!$L$20)</f>
        <v/>
      </c>
    </row>
    <row r="44" spans="1:13" x14ac:dyDescent="0.2">
      <c r="A44" s="25" t="s">
        <v>191</v>
      </c>
      <c r="B44" s="26"/>
      <c r="C44" s="31" t="str">
        <f>IF(OR('Summary Op Stmt (Operators)'!$B$20=0,'Summary Op Stmt (Operators)'!$B$20=""),"",B44/'Summary Op Stmt (Operators)'!$B$20)</f>
        <v/>
      </c>
      <c r="D44" s="26"/>
      <c r="E44" s="31" t="str">
        <f>IF(OR('Summary Op Stmt (Operators)'!$D$20=0,'Summary Op Stmt (Operators)'!$D$20=""),"",D44/'Summary Op Stmt (Operators)'!$D$20)</f>
        <v/>
      </c>
      <c r="F44" s="26"/>
      <c r="G44" s="31" t="str">
        <f>IF(OR('Summary Op Stmt (Operators)'!$F$20=0,'Summary Op Stmt (Operators)'!$F$20=""),"",F44/'Summary Op Stmt (Operators)'!$F$20)</f>
        <v/>
      </c>
      <c r="H44" s="26"/>
      <c r="I44" s="31" t="str">
        <f>IF(OR('Summary Op Stmt (Operators)'!$H$20=0,'Summary Op Stmt (Operators)'!$H$20=""),"",H44/'Summary Op Stmt (Operators)'!$H$20)</f>
        <v/>
      </c>
      <c r="J44" s="26"/>
      <c r="K44" s="31" t="str">
        <f>IF(OR('Summary Op Stmt (Operators)'!$J$20=0,'Summary Op Stmt (Operators)'!$J$20=""),"",J44/'Summary Op Stmt (Operators)'!$J$20)</f>
        <v/>
      </c>
      <c r="L44" s="26"/>
      <c r="M44" s="31" t="str">
        <f>IF(OR('Summary Op Stmt (Operators)'!$L$20=0,'Summary Op Stmt (Operators)'!$L$20=""),"",L44/'Summary Op Stmt (Operators)'!$L$20)</f>
        <v/>
      </c>
    </row>
    <row r="45" spans="1:13" x14ac:dyDescent="0.2">
      <c r="A45" s="25" t="s">
        <v>192</v>
      </c>
      <c r="B45" s="26"/>
      <c r="C45" s="31" t="str">
        <f>IF(OR('Summary Op Stmt (Operators)'!$B$20=0,'Summary Op Stmt (Operators)'!$B$20=""),"",B45/'Summary Op Stmt (Operators)'!$B$20)</f>
        <v/>
      </c>
      <c r="D45" s="26"/>
      <c r="E45" s="31" t="str">
        <f>IF(OR('Summary Op Stmt (Operators)'!$D$20=0,'Summary Op Stmt (Operators)'!$D$20=""),"",D45/'Summary Op Stmt (Operators)'!$D$20)</f>
        <v/>
      </c>
      <c r="F45" s="26"/>
      <c r="G45" s="31" t="str">
        <f>IF(OR('Summary Op Stmt (Operators)'!$F$20=0,'Summary Op Stmt (Operators)'!$F$20=""),"",F45/'Summary Op Stmt (Operators)'!$F$20)</f>
        <v/>
      </c>
      <c r="H45" s="26"/>
      <c r="I45" s="31" t="str">
        <f>IF(OR('Summary Op Stmt (Operators)'!$H$20=0,'Summary Op Stmt (Operators)'!$H$20=""),"",H45/'Summary Op Stmt (Operators)'!$H$20)</f>
        <v/>
      </c>
      <c r="J45" s="26"/>
      <c r="K45" s="31" t="str">
        <f>IF(OR('Summary Op Stmt (Operators)'!$J$20=0,'Summary Op Stmt (Operators)'!$J$20=""),"",J45/'Summary Op Stmt (Operators)'!$J$20)</f>
        <v/>
      </c>
      <c r="L45" s="26"/>
      <c r="M45" s="31" t="str">
        <f>IF(OR('Summary Op Stmt (Operators)'!$L$20=0,'Summary Op Stmt (Operators)'!$L$20=""),"",L45/'Summary Op Stmt (Operators)'!$L$20)</f>
        <v/>
      </c>
    </row>
    <row r="46" spans="1:13" x14ac:dyDescent="0.2">
      <c r="A46" s="25" t="s">
        <v>419</v>
      </c>
      <c r="B46" s="26"/>
      <c r="C46" s="31" t="str">
        <f>IF(OR('Summary Op Stmt (Operators)'!$B$20=0,'Summary Op Stmt (Operators)'!$B$20=""),"",B46/'Summary Op Stmt (Operators)'!$B$20)</f>
        <v/>
      </c>
      <c r="D46" s="26"/>
      <c r="E46" s="31" t="str">
        <f>IF(OR('Summary Op Stmt (Operators)'!$D$20=0,'Summary Op Stmt (Operators)'!$D$20=""),"",D46/'Summary Op Stmt (Operators)'!$D$20)</f>
        <v/>
      </c>
      <c r="F46" s="26"/>
      <c r="G46" s="31" t="str">
        <f>IF(OR('Summary Op Stmt (Operators)'!$F$20=0,'Summary Op Stmt (Operators)'!$F$20=""),"",F46/'Summary Op Stmt (Operators)'!$F$20)</f>
        <v/>
      </c>
      <c r="H46" s="26"/>
      <c r="I46" s="31" t="str">
        <f>IF(OR('Summary Op Stmt (Operators)'!$H$20=0,'Summary Op Stmt (Operators)'!$H$20=""),"",H46/'Summary Op Stmt (Operators)'!$H$20)</f>
        <v/>
      </c>
      <c r="J46" s="26"/>
      <c r="K46" s="31" t="str">
        <f>IF(OR('Summary Op Stmt (Operators)'!$J$20=0,'Summary Op Stmt (Operators)'!$J$20=""),"",J46/'Summary Op Stmt (Operators)'!$J$20)</f>
        <v/>
      </c>
      <c r="L46" s="26"/>
      <c r="M46" s="31" t="str">
        <f>IF(OR('Summary Op Stmt (Operators)'!$L$20=0,'Summary Op Stmt (Operators)'!$L$20=""),"",L46/'Summary Op Stmt (Operators)'!$L$20)</f>
        <v/>
      </c>
    </row>
    <row r="47" spans="1:13" x14ac:dyDescent="0.2">
      <c r="A47" s="25" t="s">
        <v>420</v>
      </c>
      <c r="B47" s="26"/>
      <c r="C47" s="31" t="str">
        <f>IF(OR('Summary Op Stmt (Operators)'!$B$20=0,'Summary Op Stmt (Operators)'!$B$20=""),"",B47/'Summary Op Stmt (Operators)'!$B$20)</f>
        <v/>
      </c>
      <c r="D47" s="26"/>
      <c r="E47" s="31" t="str">
        <f>IF(OR('Summary Op Stmt (Operators)'!$D$20=0,'Summary Op Stmt (Operators)'!$D$20=""),"",D47/'Summary Op Stmt (Operators)'!$D$20)</f>
        <v/>
      </c>
      <c r="F47" s="26"/>
      <c r="G47" s="31" t="str">
        <f>IF(OR('Summary Op Stmt (Operators)'!$F$20=0,'Summary Op Stmt (Operators)'!$F$20=""),"",F47/'Summary Op Stmt (Operators)'!$F$20)</f>
        <v/>
      </c>
      <c r="H47" s="26"/>
      <c r="I47" s="31" t="str">
        <f>IF(OR('Summary Op Stmt (Operators)'!$H$20=0,'Summary Op Stmt (Operators)'!$H$20=""),"",H47/'Summary Op Stmt (Operators)'!$H$20)</f>
        <v/>
      </c>
      <c r="J47" s="26"/>
      <c r="K47" s="31" t="str">
        <f>IF(OR('Summary Op Stmt (Operators)'!$J$20=0,'Summary Op Stmt (Operators)'!$J$20=""),"",J47/'Summary Op Stmt (Operators)'!$J$20)</f>
        <v/>
      </c>
      <c r="L47" s="26"/>
      <c r="M47" s="31" t="str">
        <f>IF(OR('Summary Op Stmt (Operators)'!$L$20=0,'Summary Op Stmt (Operators)'!$L$20=""),"",L47/'Summary Op Stmt (Operators)'!$L$20)</f>
        <v/>
      </c>
    </row>
    <row r="48" spans="1:13" x14ac:dyDescent="0.2">
      <c r="A48" s="25" t="s">
        <v>313</v>
      </c>
      <c r="B48" s="26"/>
      <c r="C48" s="31" t="str">
        <f>IF(OR('Summary Op Stmt (Operators)'!$B$20=0,'Summary Op Stmt (Operators)'!$B$20=""),"",B48/'Summary Op Stmt (Operators)'!$B$20)</f>
        <v/>
      </c>
      <c r="D48" s="26"/>
      <c r="E48" s="31" t="str">
        <f>IF(OR('Summary Op Stmt (Operators)'!$D$20=0,'Summary Op Stmt (Operators)'!$D$20=""),"",D48/'Summary Op Stmt (Operators)'!$D$20)</f>
        <v/>
      </c>
      <c r="F48" s="26"/>
      <c r="G48" s="31" t="str">
        <f>IF(OR('Summary Op Stmt (Operators)'!$F$20=0,'Summary Op Stmt (Operators)'!$F$20=""),"",F48/'Summary Op Stmt (Operators)'!$F$20)</f>
        <v/>
      </c>
      <c r="H48" s="26"/>
      <c r="I48" s="31" t="str">
        <f>IF(OR('Summary Op Stmt (Operators)'!$H$20=0,'Summary Op Stmt (Operators)'!$H$20=""),"",H48/'Summary Op Stmt (Operators)'!$H$20)</f>
        <v/>
      </c>
      <c r="J48" s="26"/>
      <c r="K48" s="31" t="str">
        <f>IF(OR('Summary Op Stmt (Operators)'!$J$20=0,'Summary Op Stmt (Operators)'!$J$20=""),"",J48/'Summary Op Stmt (Operators)'!$J$20)</f>
        <v/>
      </c>
      <c r="L48" s="26"/>
      <c r="M48" s="31" t="str">
        <f>IF(OR('Summary Op Stmt (Operators)'!$L$20=0,'Summary Op Stmt (Operators)'!$L$20=""),"",L48/'Summary Op Stmt (Operators)'!$L$20)</f>
        <v/>
      </c>
    </row>
    <row r="49" spans="1:13" x14ac:dyDescent="0.2">
      <c r="A49" s="25" t="s">
        <v>197</v>
      </c>
      <c r="B49" s="26"/>
      <c r="C49" s="31" t="str">
        <f>IF(OR('Summary Op Stmt (Operators)'!$B$20=0,'Summary Op Stmt (Operators)'!$B$20=""),"",B49/'Summary Op Stmt (Operators)'!$B$20)</f>
        <v/>
      </c>
      <c r="D49" s="26"/>
      <c r="E49" s="31" t="str">
        <f>IF(OR('Summary Op Stmt (Operators)'!$D$20=0,'Summary Op Stmt (Operators)'!$D$20=""),"",D49/'Summary Op Stmt (Operators)'!$D$20)</f>
        <v/>
      </c>
      <c r="F49" s="26"/>
      <c r="G49" s="31" t="str">
        <f>IF(OR('Summary Op Stmt (Operators)'!$F$20=0,'Summary Op Stmt (Operators)'!$F$20=""),"",F49/'Summary Op Stmt (Operators)'!$F$20)</f>
        <v/>
      </c>
      <c r="H49" s="26"/>
      <c r="I49" s="31" t="str">
        <f>IF(OR('Summary Op Stmt (Operators)'!$H$20=0,'Summary Op Stmt (Operators)'!$H$20=""),"",H49/'Summary Op Stmt (Operators)'!$H$20)</f>
        <v/>
      </c>
      <c r="J49" s="26"/>
      <c r="K49" s="31" t="str">
        <f>IF(OR('Summary Op Stmt (Operators)'!$J$20=0,'Summary Op Stmt (Operators)'!$J$20=""),"",J49/'Summary Op Stmt (Operators)'!$J$20)</f>
        <v/>
      </c>
      <c r="L49" s="26"/>
      <c r="M49" s="31" t="str">
        <f>IF(OR('Summary Op Stmt (Operators)'!$L$20=0,'Summary Op Stmt (Operators)'!$L$20=""),"",L49/'Summary Op Stmt (Operators)'!$L$20)</f>
        <v/>
      </c>
    </row>
    <row r="50" spans="1:13" x14ac:dyDescent="0.2">
      <c r="A50" s="25" t="s">
        <v>198</v>
      </c>
      <c r="B50" s="26"/>
      <c r="C50" s="31" t="str">
        <f>IF(OR('Summary Op Stmt (Operators)'!$B$20=0,'Summary Op Stmt (Operators)'!$B$20=""),"",B50/'Summary Op Stmt (Operators)'!$B$20)</f>
        <v/>
      </c>
      <c r="D50" s="26"/>
      <c r="E50" s="31" t="str">
        <f>IF(OR('Summary Op Stmt (Operators)'!$D$20=0,'Summary Op Stmt (Operators)'!$D$20=""),"",D50/'Summary Op Stmt (Operators)'!$D$20)</f>
        <v/>
      </c>
      <c r="F50" s="26"/>
      <c r="G50" s="31" t="str">
        <f>IF(OR('Summary Op Stmt (Operators)'!$F$20=0,'Summary Op Stmt (Operators)'!$F$20=""),"",F50/'Summary Op Stmt (Operators)'!$F$20)</f>
        <v/>
      </c>
      <c r="H50" s="26"/>
      <c r="I50" s="31" t="str">
        <f>IF(OR('Summary Op Stmt (Operators)'!$H$20=0,'Summary Op Stmt (Operators)'!$H$20=""),"",H50/'Summary Op Stmt (Operators)'!$H$20)</f>
        <v/>
      </c>
      <c r="J50" s="26"/>
      <c r="K50" s="31" t="str">
        <f>IF(OR('Summary Op Stmt (Operators)'!$J$20=0,'Summary Op Stmt (Operators)'!$J$20=""),"",J50/'Summary Op Stmt (Operators)'!$J$20)</f>
        <v/>
      </c>
      <c r="L50" s="26"/>
      <c r="M50" s="31" t="str">
        <f>IF(OR('Summary Op Stmt (Operators)'!$L$20=0,'Summary Op Stmt (Operators)'!$L$20=""),"",L50/'Summary Op Stmt (Operators)'!$L$20)</f>
        <v/>
      </c>
    </row>
    <row r="51" spans="1:13" x14ac:dyDescent="0.2">
      <c r="A51" s="25" t="s">
        <v>199</v>
      </c>
      <c r="B51" s="26"/>
      <c r="C51" s="31" t="str">
        <f>IF(OR('Summary Op Stmt (Operators)'!$B$20=0,'Summary Op Stmt (Operators)'!$B$20=""),"",B51/'Summary Op Stmt (Operators)'!$B$20)</f>
        <v/>
      </c>
      <c r="D51" s="26"/>
      <c r="E51" s="31" t="str">
        <f>IF(OR('Summary Op Stmt (Operators)'!$D$20=0,'Summary Op Stmt (Operators)'!$D$20=""),"",D51/'Summary Op Stmt (Operators)'!$D$20)</f>
        <v/>
      </c>
      <c r="F51" s="26"/>
      <c r="G51" s="31" t="str">
        <f>IF(OR('Summary Op Stmt (Operators)'!$F$20=0,'Summary Op Stmt (Operators)'!$F$20=""),"",F51/'Summary Op Stmt (Operators)'!$F$20)</f>
        <v/>
      </c>
      <c r="H51" s="26"/>
      <c r="I51" s="31" t="str">
        <f>IF(OR('Summary Op Stmt (Operators)'!$H$20=0,'Summary Op Stmt (Operators)'!$H$20=""),"",H51/'Summary Op Stmt (Operators)'!$H$20)</f>
        <v/>
      </c>
      <c r="J51" s="26"/>
      <c r="K51" s="31" t="str">
        <f>IF(OR('Summary Op Stmt (Operators)'!$J$20=0,'Summary Op Stmt (Operators)'!$J$20=""),"",J51/'Summary Op Stmt (Operators)'!$J$20)</f>
        <v/>
      </c>
      <c r="L51" s="26"/>
      <c r="M51" s="31" t="str">
        <f>IF(OR('Summary Op Stmt (Operators)'!$L$20=0,'Summary Op Stmt (Operators)'!$L$20=""),"",L51/'Summary Op Stmt (Operators)'!$L$20)</f>
        <v/>
      </c>
    </row>
    <row r="52" spans="1:13" x14ac:dyDescent="0.2">
      <c r="A52" s="25" t="s">
        <v>200</v>
      </c>
      <c r="B52" s="26"/>
      <c r="C52" s="31" t="str">
        <f>IF(OR('Summary Op Stmt (Operators)'!$B$20=0,'Summary Op Stmt (Operators)'!$B$20=""),"",B52/'Summary Op Stmt (Operators)'!$B$20)</f>
        <v/>
      </c>
      <c r="D52" s="26"/>
      <c r="E52" s="31" t="str">
        <f>IF(OR('Summary Op Stmt (Operators)'!$D$20=0,'Summary Op Stmt (Operators)'!$D$20=""),"",D52/'Summary Op Stmt (Operators)'!$D$20)</f>
        <v/>
      </c>
      <c r="F52" s="26"/>
      <c r="G52" s="31" t="str">
        <f>IF(OR('Summary Op Stmt (Operators)'!$F$20=0,'Summary Op Stmt (Operators)'!$F$20=""),"",F52/'Summary Op Stmt (Operators)'!$F$20)</f>
        <v/>
      </c>
      <c r="H52" s="26"/>
      <c r="I52" s="31" t="str">
        <f>IF(OR('Summary Op Stmt (Operators)'!$H$20=0,'Summary Op Stmt (Operators)'!$H$20=""),"",H52/'Summary Op Stmt (Operators)'!$H$20)</f>
        <v/>
      </c>
      <c r="J52" s="26"/>
      <c r="K52" s="31" t="str">
        <f>IF(OR('Summary Op Stmt (Operators)'!$J$20=0,'Summary Op Stmt (Operators)'!$J$20=""),"",J52/'Summary Op Stmt (Operators)'!$J$20)</f>
        <v/>
      </c>
      <c r="L52" s="26"/>
      <c r="M52" s="31" t="str">
        <f>IF(OR('Summary Op Stmt (Operators)'!$L$20=0,'Summary Op Stmt (Operators)'!$L$20=""),"",L52/'Summary Op Stmt (Operators)'!$L$20)</f>
        <v/>
      </c>
    </row>
    <row r="53" spans="1:13" x14ac:dyDescent="0.2">
      <c r="A53" s="25" t="s">
        <v>201</v>
      </c>
      <c r="B53" s="26"/>
      <c r="C53" s="31" t="str">
        <f>IF(OR('Summary Op Stmt (Operators)'!$B$20=0,'Summary Op Stmt (Operators)'!$B$20=""),"",B53/'Summary Op Stmt (Operators)'!$B$20)</f>
        <v/>
      </c>
      <c r="D53" s="26"/>
      <c r="E53" s="31" t="str">
        <f>IF(OR('Summary Op Stmt (Operators)'!$D$20=0,'Summary Op Stmt (Operators)'!$D$20=""),"",D53/'Summary Op Stmt (Operators)'!$D$20)</f>
        <v/>
      </c>
      <c r="F53" s="26"/>
      <c r="G53" s="31" t="str">
        <f>IF(OR('Summary Op Stmt (Operators)'!$F$20=0,'Summary Op Stmt (Operators)'!$F$20=""),"",F53/'Summary Op Stmt (Operators)'!$F$20)</f>
        <v/>
      </c>
      <c r="H53" s="26"/>
      <c r="I53" s="31" t="str">
        <f>IF(OR('Summary Op Stmt (Operators)'!$H$20=0,'Summary Op Stmt (Operators)'!$H$20=""),"",H53/'Summary Op Stmt (Operators)'!$H$20)</f>
        <v/>
      </c>
      <c r="J53" s="26"/>
      <c r="K53" s="31" t="str">
        <f>IF(OR('Summary Op Stmt (Operators)'!$J$20=0,'Summary Op Stmt (Operators)'!$J$20=""),"",J53/'Summary Op Stmt (Operators)'!$J$20)</f>
        <v/>
      </c>
      <c r="L53" s="26"/>
      <c r="M53" s="31" t="str">
        <f>IF(OR('Summary Op Stmt (Operators)'!$L$20=0,'Summary Op Stmt (Operators)'!$L$20=""),"",L53/'Summary Op Stmt (Operators)'!$L$20)</f>
        <v/>
      </c>
    </row>
    <row r="54" spans="1:13" x14ac:dyDescent="0.2">
      <c r="A54" s="25" t="s">
        <v>421</v>
      </c>
      <c r="B54" s="26"/>
      <c r="C54" s="31" t="str">
        <f>IF(OR('Summary Op Stmt (Operators)'!$B$20=0,'Summary Op Stmt (Operators)'!$B$20=""),"",B54/'Summary Op Stmt (Operators)'!$B$20)</f>
        <v/>
      </c>
      <c r="D54" s="26"/>
      <c r="E54" s="31" t="str">
        <f>IF(OR('Summary Op Stmt (Operators)'!$D$20=0,'Summary Op Stmt (Operators)'!$D$20=""),"",D54/'Summary Op Stmt (Operators)'!$D$20)</f>
        <v/>
      </c>
      <c r="F54" s="26"/>
      <c r="G54" s="31" t="str">
        <f>IF(OR('Summary Op Stmt (Operators)'!$F$20=0,'Summary Op Stmt (Operators)'!$F$20=""),"",F54/'Summary Op Stmt (Operators)'!$F$20)</f>
        <v/>
      </c>
      <c r="H54" s="26"/>
      <c r="I54" s="31" t="str">
        <f>IF(OR('Summary Op Stmt (Operators)'!$H$20=0,'Summary Op Stmt (Operators)'!$H$20=""),"",H54/'Summary Op Stmt (Operators)'!$H$20)</f>
        <v/>
      </c>
      <c r="J54" s="26"/>
      <c r="K54" s="31" t="str">
        <f>IF(OR('Summary Op Stmt (Operators)'!$J$20=0,'Summary Op Stmt (Operators)'!$J$20=""),"",J54/'Summary Op Stmt (Operators)'!$J$20)</f>
        <v/>
      </c>
      <c r="L54" s="26"/>
      <c r="M54" s="31" t="str">
        <f>IF(OR('Summary Op Stmt (Operators)'!$L$20=0,'Summary Op Stmt (Operators)'!$L$20=""),"",L54/'Summary Op Stmt (Operators)'!$L$20)</f>
        <v/>
      </c>
    </row>
    <row r="55" spans="1:13" x14ac:dyDescent="0.2">
      <c r="A55" s="25" t="s">
        <v>422</v>
      </c>
      <c r="B55" s="26"/>
      <c r="C55" s="31" t="str">
        <f>IF(OR('Summary Op Stmt (Operators)'!$B$20=0,'Summary Op Stmt (Operators)'!$B$20=""),"",B55/'Summary Op Stmt (Operators)'!$B$20)</f>
        <v/>
      </c>
      <c r="D55" s="26"/>
      <c r="E55" s="31" t="str">
        <f>IF(OR('Summary Op Stmt (Operators)'!$D$20=0,'Summary Op Stmt (Operators)'!$D$20=""),"",D55/'Summary Op Stmt (Operators)'!$D$20)</f>
        <v/>
      </c>
      <c r="F55" s="26"/>
      <c r="G55" s="31" t="str">
        <f>IF(OR('Summary Op Stmt (Operators)'!$F$20=0,'Summary Op Stmt (Operators)'!$F$20=""),"",F55/'Summary Op Stmt (Operators)'!$F$20)</f>
        <v/>
      </c>
      <c r="H55" s="26"/>
      <c r="I55" s="31" t="str">
        <f>IF(OR('Summary Op Stmt (Operators)'!$H$20=0,'Summary Op Stmt (Operators)'!$H$20=""),"",H55/'Summary Op Stmt (Operators)'!$H$20)</f>
        <v/>
      </c>
      <c r="J55" s="26"/>
      <c r="K55" s="31" t="str">
        <f>IF(OR('Summary Op Stmt (Operators)'!$J$20=0,'Summary Op Stmt (Operators)'!$J$20=""),"",J55/'Summary Op Stmt (Operators)'!$J$20)</f>
        <v/>
      </c>
      <c r="L55" s="26"/>
      <c r="M55" s="31" t="str">
        <f>IF(OR('Summary Op Stmt (Operators)'!$L$20=0,'Summary Op Stmt (Operators)'!$L$20=""),"",L55/'Summary Op Stmt (Operators)'!$L$20)</f>
        <v/>
      </c>
    </row>
    <row r="56" spans="1:13" x14ac:dyDescent="0.2">
      <c r="A56" s="35" t="s">
        <v>202</v>
      </c>
      <c r="B56" s="36">
        <f>B25+B26+B27+B28+B29+B30+B31+B32+B33+B34+B35+B36+B37+B38+B39+B40+B41+B42+B43+B44+B45+B46+B47+B48+B49+B50+B51+B52+B53+B54+B55</f>
        <v>0</v>
      </c>
      <c r="C56" s="37" t="str">
        <f>IF(OR('Summary Op Stmt (Operators)'!$B$20=0,'Summary Op Stmt (Operators)'!$B$20=""),"",B56/'Summary Op Stmt (Operators)'!$B$20)</f>
        <v/>
      </c>
      <c r="D56" s="36">
        <f>D25+D26+D27+D28+D29+D30+D31+D32+D33+D34+D35+D36+D37+D38+D39+D40+D41+D42+D43+D44+D45+D46+D47+D48+D49+D50+D51+D52+D53+D54+D55</f>
        <v>0</v>
      </c>
      <c r="E56" s="37" t="str">
        <f>IF(OR('Summary Op Stmt (Operators)'!$D$20=0,'Summary Op Stmt (Operators)'!$D$20=""),"",D56/'Summary Op Stmt (Operators)'!$D$20)</f>
        <v/>
      </c>
      <c r="F56" s="36">
        <f>F25+F26+F27+F28+F29+F30+F31+F32+F33+F34+F35+F36+F37+F38+F39+F40+F41+F42+F43+F44+F45+F46+F47+F48+F49+F50+F51+F52+F53+F54+F55</f>
        <v>0</v>
      </c>
      <c r="G56" s="37" t="str">
        <f>IF(OR('Summary Op Stmt (Operators)'!$F$20=0,'Summary Op Stmt (Operators)'!$F$20=""),"",F56/'Summary Op Stmt (Operators)'!$F$20)</f>
        <v/>
      </c>
      <c r="H56" s="36">
        <f>H25+H26+H27+H28+H29+H30+H31+H32+H33+H34+H35+H36+H37+H38+H39+H40+H41+H42+H43+H44+H45+H46+H47+H48+H49+H50+H51+H52+H53+H54+H55</f>
        <v>0</v>
      </c>
      <c r="I56" s="37" t="str">
        <f>IF(OR('Summary Op Stmt (Operators)'!$H$20=0,'Summary Op Stmt (Operators)'!$H$20=""),"",H56/'Summary Op Stmt (Operators)'!$H$20)</f>
        <v/>
      </c>
      <c r="J56" s="36">
        <f>J25+J26+J27+J28+J29+J30+J31+J32+J33+J34+J35+J36+J37+J38+J39+J40+J41+J42+J43+J44+J45+J46+J47+J48+J49+J50+J51+J52+J53+J54+J55</f>
        <v>0</v>
      </c>
      <c r="K56" s="37" t="str">
        <f>IF(OR('Summary Op Stmt (Operators)'!$J$20=0,'Summary Op Stmt (Operators)'!$J$20=""),"",J56/'Summary Op Stmt (Operators)'!$J$20)</f>
        <v/>
      </c>
      <c r="L56" s="36">
        <f>L25+L26+L27+L28+L29+L30+L31+L32+L33+L34+L35+L36+L37+L38+L39+L40+L41+L42+L43+L44+L45+L46+L47+L48+L49+L50+L51+L52+L53+L54+L55</f>
        <v>0</v>
      </c>
      <c r="M56" s="37" t="str">
        <f>IF(OR('Summary Op Stmt (Operators)'!$L$20=0,'Summary Op Stmt (Operators)'!$L$20=""),"",L56/'Summary Op Stmt (Operators)'!$L$20)</f>
        <v/>
      </c>
    </row>
    <row r="57" spans="1:13" x14ac:dyDescent="0.2">
      <c r="A57" s="38" t="s">
        <v>203</v>
      </c>
      <c r="B57" s="39">
        <f>B23+B56</f>
        <v>0</v>
      </c>
      <c r="C57" s="40" t="str">
        <f>IF(OR('Summary Op Stmt (Operators)'!$B$20=0,'Summary Op Stmt (Operators)'!$B$20=""),"",B57/'Summary Op Stmt (Operators)'!$B$20)</f>
        <v/>
      </c>
      <c r="D57" s="39">
        <f>D23+D56</f>
        <v>0</v>
      </c>
      <c r="E57" s="40" t="str">
        <f>IF(OR('Summary Op Stmt (Operators)'!$D$20=0,'Summary Op Stmt (Operators)'!$D$20=""),"",D57/'Summary Op Stmt (Operators)'!$D$20)</f>
        <v/>
      </c>
      <c r="F57" s="39">
        <f>F23+F56</f>
        <v>0</v>
      </c>
      <c r="G57" s="40" t="str">
        <f>IF(OR('Summary Op Stmt (Operators)'!$F$20=0,'Summary Op Stmt (Operators)'!$F$20=""),"",F57/'Summary Op Stmt (Operators)'!$F$20)</f>
        <v/>
      </c>
      <c r="H57" s="39">
        <f>H23+H56</f>
        <v>0</v>
      </c>
      <c r="I57" s="40" t="str">
        <f>IF(OR('Summary Op Stmt (Operators)'!$H$20=0,'Summary Op Stmt (Operators)'!$H$20=""),"",H57/'Summary Op Stmt (Operators)'!$H$20)</f>
        <v/>
      </c>
      <c r="J57" s="39">
        <f>J23+J56</f>
        <v>0</v>
      </c>
      <c r="K57" s="40" t="str">
        <f>IF(OR('Summary Op Stmt (Operators)'!$J$20=0,'Summary Op Stmt (Operators)'!$J$20=""),"",J57/'Summary Op Stmt (Operators)'!$J$20)</f>
        <v/>
      </c>
      <c r="L57" s="39">
        <f>L23+L56</f>
        <v>0</v>
      </c>
      <c r="M57" s="40" t="str">
        <f>IF(OR('Summary Op Stmt (Operators)'!$L$20=0,'Summary Op Stmt (Operators)'!$L$20=""),"",L57/'Summary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3864"/>
  </sheetPr>
  <dimension ref="A1:M16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35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424</v>
      </c>
      <c r="B8" s="26"/>
      <c r="C8" s="31" t="str">
        <f>IF(OR('Summary Op Stmt (Operators)'!$B$20=0,'Summary Op Stmt (Operators)'!$B$20=""),"",B8/'Summary Op Stmt (Operators)'!$B$20)</f>
        <v/>
      </c>
      <c r="D8" s="26"/>
      <c r="E8" s="31" t="str">
        <f>IF(OR('Summary Op Stmt (Operators)'!$D$20=0,'Summary Op Stmt (Operators)'!$D$20=""),"",D8/'Summary Op Stmt (Operators)'!$D$20)</f>
        <v/>
      </c>
      <c r="F8" s="26"/>
      <c r="G8" s="31" t="str">
        <f>IF(OR('Summary Op Stmt (Operators)'!$F$20=0,'Summary Op Stmt (Operators)'!$F$20=""),"",F8/'Summary Op Stmt (Operators)'!$F$20)</f>
        <v/>
      </c>
      <c r="H8" s="26"/>
      <c r="I8" s="31" t="str">
        <f>IF(OR('Summary Op Stmt (Operators)'!$H$20=0,'Summary Op Stmt (Operators)'!$H$20=""),"",H8/'Summary Op Stmt (Operators)'!$H$20)</f>
        <v/>
      </c>
      <c r="J8" s="26"/>
      <c r="K8" s="31" t="str">
        <f>IF(OR('Summary Op Stmt (Operators)'!$J$20=0,'Summary Op Stmt (Operators)'!$J$20=""),"",J8/'Summary Op Stmt (Operators)'!$J$20)</f>
        <v/>
      </c>
      <c r="L8" s="26"/>
      <c r="M8" s="31" t="str">
        <f>IF(OR('Summary Op Stmt (Operators)'!$L$20=0,'Summary Op Stmt (Operators)'!$L$20=""),"",L8/'Summary Op Stmt (Operators)'!$L$20)</f>
        <v/>
      </c>
    </row>
    <row r="9" spans="1:13" x14ac:dyDescent="0.2">
      <c r="A9" s="25" t="s">
        <v>425</v>
      </c>
      <c r="B9" s="26"/>
      <c r="C9" s="31" t="str">
        <f>IF(OR('Summary Op Stmt (Operators)'!$B$20=0,'Summary Op Stmt (Operators)'!$B$20=""),"",B9/'Summary Op Stmt (Operators)'!$B$20)</f>
        <v/>
      </c>
      <c r="D9" s="26"/>
      <c r="E9" s="31" t="str">
        <f>IF(OR('Summary Op Stmt (Operators)'!$D$20=0,'Summary Op Stmt (Operators)'!$D$20=""),"",D9/'Summary Op Stmt (Operators)'!$D$20)</f>
        <v/>
      </c>
      <c r="F9" s="26"/>
      <c r="G9" s="31" t="str">
        <f>IF(OR('Summary Op Stmt (Operators)'!$F$20=0,'Summary Op Stmt (Operators)'!$F$20=""),"",F9/'Summary Op Stmt (Operators)'!$F$20)</f>
        <v/>
      </c>
      <c r="H9" s="26"/>
      <c r="I9" s="31" t="str">
        <f>IF(OR('Summary Op Stmt (Operators)'!$H$20=0,'Summary Op Stmt (Operators)'!$H$20=""),"",H9/'Summary Op Stmt (Operators)'!$H$20)</f>
        <v/>
      </c>
      <c r="J9" s="26"/>
      <c r="K9" s="31" t="str">
        <f>IF(OR('Summary Op Stmt (Operators)'!$J$20=0,'Summary Op Stmt (Operators)'!$J$20=""),"",J9/'Summary Op Stmt (Operators)'!$J$20)</f>
        <v/>
      </c>
      <c r="L9" s="26"/>
      <c r="M9" s="31" t="str">
        <f>IF(OR('Summary Op Stmt (Operators)'!$L$20=0,'Summary Op Stmt (Operators)'!$L$20=""),"",L9/'Summary Op Stmt (Operators)'!$L$20)</f>
        <v/>
      </c>
    </row>
    <row r="10" spans="1:13" x14ac:dyDescent="0.2">
      <c r="A10" s="25" t="s">
        <v>426</v>
      </c>
      <c r="B10" s="26"/>
      <c r="C10" s="31" t="str">
        <f>IF(OR('Summary Op Stmt (Operators)'!$B$20=0,'Summary Op Stmt (Operators)'!$B$20=""),"",B10/'Summary Op Stmt (Operators)'!$B$20)</f>
        <v/>
      </c>
      <c r="D10" s="26"/>
      <c r="E10" s="31" t="str">
        <f>IF(OR('Summary Op Stmt (Operators)'!$D$20=0,'Summary Op Stmt (Operators)'!$D$20=""),"",D10/'Summary Op Stmt (Operators)'!$D$20)</f>
        <v/>
      </c>
      <c r="F10" s="26"/>
      <c r="G10" s="31" t="str">
        <f>IF(OR('Summary Op Stmt (Operators)'!$F$20=0,'Summary Op Stmt (Operators)'!$F$20=""),"",F10/'Summary Op Stmt (Operators)'!$F$20)</f>
        <v/>
      </c>
      <c r="H10" s="26"/>
      <c r="I10" s="31" t="str">
        <f>IF(OR('Summary Op Stmt (Operators)'!$H$20=0,'Summary Op Stmt (Operators)'!$H$20=""),"",H10/'Summary Op Stmt (Operators)'!$H$20)</f>
        <v/>
      </c>
      <c r="J10" s="26"/>
      <c r="K10" s="31" t="str">
        <f>IF(OR('Summary Op Stmt (Operators)'!$J$20=0,'Summary Op Stmt (Operators)'!$J$20=""),"",J10/'Summary Op Stmt (Operators)'!$J$20)</f>
        <v/>
      </c>
      <c r="L10" s="26"/>
      <c r="M10" s="31" t="str">
        <f>IF(OR('Summary Op Stmt (Operators)'!$L$20=0,'Summary Op Stmt (Operators)'!$L$20=""),"",L10/'Summary Op Stmt (Operators)'!$L$20)</f>
        <v/>
      </c>
    </row>
    <row r="11" spans="1:13" x14ac:dyDescent="0.2">
      <c r="A11" s="25" t="s">
        <v>427</v>
      </c>
      <c r="B11" s="26"/>
      <c r="C11" s="31" t="str">
        <f>IF(OR('Summary Op Stmt (Operators)'!$B$20=0,'Summary Op Stmt (Operators)'!$B$20=""),"",B11/'Summary Op Stmt (Operators)'!$B$20)</f>
        <v/>
      </c>
      <c r="D11" s="26"/>
      <c r="E11" s="31" t="str">
        <f>IF(OR('Summary Op Stmt (Operators)'!$D$20=0,'Summary Op Stmt (Operators)'!$D$20=""),"",D11/'Summary Op Stmt (Operators)'!$D$20)</f>
        <v/>
      </c>
      <c r="F11" s="26"/>
      <c r="G11" s="31" t="str">
        <f>IF(OR('Summary Op Stmt (Operators)'!$F$20=0,'Summary Op Stmt (Operators)'!$F$20=""),"",F11/'Summary Op Stmt (Operators)'!$F$20)</f>
        <v/>
      </c>
      <c r="H11" s="26"/>
      <c r="I11" s="31" t="str">
        <f>IF(OR('Summary Op Stmt (Operators)'!$H$20=0,'Summary Op Stmt (Operators)'!$H$20=""),"",H11/'Summary Op Stmt (Operators)'!$H$20)</f>
        <v/>
      </c>
      <c r="J11" s="26"/>
      <c r="K11" s="31" t="str">
        <f>IF(OR('Summary Op Stmt (Operators)'!$J$20=0,'Summary Op Stmt (Operators)'!$J$20=""),"",J11/'Summary Op Stmt (Operators)'!$J$20)</f>
        <v/>
      </c>
      <c r="L11" s="26"/>
      <c r="M11" s="31" t="str">
        <f>IF(OR('Summary Op Stmt (Operators)'!$L$20=0,'Summary Op Stmt (Operators)'!$L$20=""),"",L11/'Summary Op Stmt (Operators)'!$L$20)</f>
        <v/>
      </c>
    </row>
    <row r="12" spans="1:13" x14ac:dyDescent="0.2">
      <c r="A12" s="25" t="s">
        <v>428</v>
      </c>
      <c r="B12" s="26"/>
      <c r="C12" s="31" t="str">
        <f>IF(OR('Summary Op Stmt (Operators)'!$B$20=0,'Summary Op Stmt (Operators)'!$B$20=""),"",B12/'Summary Op Stmt (Operators)'!$B$20)</f>
        <v/>
      </c>
      <c r="D12" s="26"/>
      <c r="E12" s="31" t="str">
        <f>IF(OR('Summary Op Stmt (Operators)'!$D$20=0,'Summary Op Stmt (Operators)'!$D$20=""),"",D12/'Summary Op Stmt (Operators)'!$D$20)</f>
        <v/>
      </c>
      <c r="F12" s="26"/>
      <c r="G12" s="31" t="str">
        <f>IF(OR('Summary Op Stmt (Operators)'!$F$20=0,'Summary Op Stmt (Operators)'!$F$20=""),"",F12/'Summary Op Stmt (Operators)'!$F$20)</f>
        <v/>
      </c>
      <c r="H12" s="26"/>
      <c r="I12" s="31" t="str">
        <f>IF(OR('Summary Op Stmt (Operators)'!$H$20=0,'Summary Op Stmt (Operators)'!$H$20=""),"",H12/'Summary Op Stmt (Operators)'!$H$20)</f>
        <v/>
      </c>
      <c r="J12" s="26"/>
      <c r="K12" s="31" t="str">
        <f>IF(OR('Summary Op Stmt (Operators)'!$J$20=0,'Summary Op Stmt (Operators)'!$J$20=""),"",J12/'Summary Op Stmt (Operators)'!$J$20)</f>
        <v/>
      </c>
      <c r="L12" s="26"/>
      <c r="M12" s="31" t="str">
        <f>IF(OR('Summary Op Stmt (Operators)'!$L$20=0,'Summary Op Stmt (Operators)'!$L$20=""),"",L12/'Summary Op Stmt (Operators)'!$L$20)</f>
        <v/>
      </c>
    </row>
    <row r="13" spans="1:13" x14ac:dyDescent="0.2">
      <c r="A13" s="25" t="s">
        <v>429</v>
      </c>
      <c r="B13" s="26"/>
      <c r="C13" s="31" t="str">
        <f>IF(OR('Summary Op Stmt (Operators)'!$B$20=0,'Summary Op Stmt (Operators)'!$B$20=""),"",B13/'Summary Op Stmt (Operators)'!$B$20)</f>
        <v/>
      </c>
      <c r="D13" s="26"/>
      <c r="E13" s="31" t="str">
        <f>IF(OR('Summary Op Stmt (Operators)'!$D$20=0,'Summary Op Stmt (Operators)'!$D$20=""),"",D13/'Summary Op Stmt (Operators)'!$D$20)</f>
        <v/>
      </c>
      <c r="F13" s="26"/>
      <c r="G13" s="31" t="str">
        <f>IF(OR('Summary Op Stmt (Operators)'!$F$20=0,'Summary Op Stmt (Operators)'!$F$20=""),"",F13/'Summary Op Stmt (Operators)'!$F$20)</f>
        <v/>
      </c>
      <c r="H13" s="26"/>
      <c r="I13" s="31" t="str">
        <f>IF(OR('Summary Op Stmt (Operators)'!$H$20=0,'Summary Op Stmt (Operators)'!$H$20=""),"",H13/'Summary Op Stmt (Operators)'!$H$20)</f>
        <v/>
      </c>
      <c r="J13" s="26"/>
      <c r="K13" s="31" t="str">
        <f>IF(OR('Summary Op Stmt (Operators)'!$J$20=0,'Summary Op Stmt (Operators)'!$J$20=""),"",J13/'Summary Op Stmt (Operators)'!$J$20)</f>
        <v/>
      </c>
      <c r="L13" s="26"/>
      <c r="M13" s="31" t="str">
        <f>IF(OR('Summary Op Stmt (Operators)'!$L$20=0,'Summary Op Stmt (Operators)'!$L$20=""),"",L13/'Summary Op Stmt (Operators)'!$L$20)</f>
        <v/>
      </c>
    </row>
    <row r="14" spans="1:13" x14ac:dyDescent="0.2">
      <c r="A14" s="25" t="s">
        <v>430</v>
      </c>
      <c r="B14" s="26"/>
      <c r="C14" s="31" t="str">
        <f>IF(OR('Summary Op Stmt (Operators)'!$B$20=0,'Summary Op Stmt (Operators)'!$B$20=""),"",B14/'Summary Op Stmt (Operators)'!$B$20)</f>
        <v/>
      </c>
      <c r="D14" s="26"/>
      <c r="E14" s="31" t="str">
        <f>IF(OR('Summary Op Stmt (Operators)'!$D$20=0,'Summary Op Stmt (Operators)'!$D$20=""),"",D14/'Summary Op Stmt (Operators)'!$D$20)</f>
        <v/>
      </c>
      <c r="F14" s="26"/>
      <c r="G14" s="31" t="str">
        <f>IF(OR('Summary Op Stmt (Operators)'!$F$20=0,'Summary Op Stmt (Operators)'!$F$20=""),"",F14/'Summary Op Stmt (Operators)'!$F$20)</f>
        <v/>
      </c>
      <c r="H14" s="26"/>
      <c r="I14" s="31" t="str">
        <f>IF(OR('Summary Op Stmt (Operators)'!$H$20=0,'Summary Op Stmt (Operators)'!$H$20=""),"",H14/'Summary Op Stmt (Operators)'!$H$20)</f>
        <v/>
      </c>
      <c r="J14" s="26"/>
      <c r="K14" s="31" t="str">
        <f>IF(OR('Summary Op Stmt (Operators)'!$J$20=0,'Summary Op Stmt (Operators)'!$J$20=""),"",J14/'Summary Op Stmt (Operators)'!$J$20)</f>
        <v/>
      </c>
      <c r="L14" s="26"/>
      <c r="M14" s="31" t="str">
        <f>IF(OR('Summary Op Stmt (Operators)'!$L$20=0,'Summary Op Stmt (Operators)'!$L$20=""),"",L14/'Summary Op Stmt (Operators)'!$L$20)</f>
        <v/>
      </c>
    </row>
    <row r="15" spans="1:13" x14ac:dyDescent="0.2">
      <c r="A15" s="25" t="s">
        <v>179</v>
      </c>
      <c r="B15" s="26"/>
      <c r="C15" s="31" t="str">
        <f>IF(OR('Summary Op Stmt (Operators)'!$B$20=0,'Summary Op Stmt (Operators)'!$B$20=""),"",B15/'Summary Op Stmt (Operators)'!$B$20)</f>
        <v/>
      </c>
      <c r="D15" s="26"/>
      <c r="E15" s="31" t="str">
        <f>IF(OR('Summary Op Stmt (Operators)'!$D$20=0,'Summary Op Stmt (Operators)'!$D$20=""),"",D15/'Summary Op Stmt (Operators)'!$D$20)</f>
        <v/>
      </c>
      <c r="F15" s="26"/>
      <c r="G15" s="31" t="str">
        <f>IF(OR('Summary Op Stmt (Operators)'!$F$20=0,'Summary Op Stmt (Operators)'!$F$20=""),"",F15/'Summary Op Stmt (Operators)'!$F$20)</f>
        <v/>
      </c>
      <c r="H15" s="26"/>
      <c r="I15" s="31" t="str">
        <f>IF(OR('Summary Op Stmt (Operators)'!$H$20=0,'Summary Op Stmt (Operators)'!$H$20=""),"",H15/'Summary Op Stmt (Operators)'!$H$20)</f>
        <v/>
      </c>
      <c r="J15" s="26"/>
      <c r="K15" s="31" t="str">
        <f>IF(OR('Summary Op Stmt (Operators)'!$J$20=0,'Summary Op Stmt (Operators)'!$J$20=""),"",J15/'Summary Op Stmt (Operators)'!$J$20)</f>
        <v/>
      </c>
      <c r="L15" s="26"/>
      <c r="M15" s="31" t="str">
        <f>IF(OR('Summary Op Stmt (Operators)'!$L$20=0,'Summary Op Stmt (Operators)'!$L$20=""),"",L15/'Summary Op Stmt (Operators)'!$L$20)</f>
        <v/>
      </c>
    </row>
    <row r="16" spans="1:13" x14ac:dyDescent="0.2">
      <c r="A16" s="38" t="s">
        <v>203</v>
      </c>
      <c r="B16" s="39">
        <f>B8+B9+B10+B11+B12+B13+B14+B15</f>
        <v>0</v>
      </c>
      <c r="C16" s="40" t="str">
        <f>IF(OR('Summary Op Stmt (Operators)'!$B$20=0,'Summary Op Stmt (Operators)'!$B$20=""),"",B16/'Summary Op Stmt (Operators)'!$B$20)</f>
        <v/>
      </c>
      <c r="D16" s="39">
        <f>D8+D9+D10+D11+D12+D13+D14+D15</f>
        <v>0</v>
      </c>
      <c r="E16" s="40" t="str">
        <f>IF(OR('Summary Op Stmt (Operators)'!$D$20=0,'Summary Op Stmt (Operators)'!$D$20=""),"",D16/'Summary Op Stmt (Operators)'!$D$20)</f>
        <v/>
      </c>
      <c r="F16" s="39">
        <f>F8+F9+F10+F11+F12+F13+F14+F15</f>
        <v>0</v>
      </c>
      <c r="G16" s="40" t="str">
        <f>IF(OR('Summary Op Stmt (Operators)'!$F$20=0,'Summary Op Stmt (Operators)'!$F$20=""),"",F16/'Summary Op Stmt (Operators)'!$F$20)</f>
        <v/>
      </c>
      <c r="H16" s="39">
        <f>H8+H9+H10+H11+H12+H13+H14+H15</f>
        <v>0</v>
      </c>
      <c r="I16" s="40" t="str">
        <f>IF(OR('Summary Op Stmt (Operators)'!$H$20=0,'Summary Op Stmt (Operators)'!$H$20=""),"",H16/'Summary Op Stmt (Operators)'!$H$20)</f>
        <v/>
      </c>
      <c r="J16" s="39">
        <f>J8+J9+J10+J11+J12+J13+J14+J15</f>
        <v>0</v>
      </c>
      <c r="K16" s="40" t="str">
        <f>IF(OR('Summary Op Stmt (Operators)'!$J$20=0,'Summary Op Stmt (Operators)'!$J$20=""),"",J16/'Summary Op Stmt (Operators)'!$J$20)</f>
        <v/>
      </c>
      <c r="L16" s="39">
        <f>L8+L9+L10+L11+L12+L13+L14+L15</f>
        <v>0</v>
      </c>
      <c r="M16" s="40" t="str">
        <f>IF(OR('Summary Op Stmt (Operators)'!$L$20=0,'Summary Op Stmt (Operators)'!$L$20=""),"",L16/'Summary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3864"/>
  </sheetPr>
  <dimension ref="A1:M10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37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432</v>
      </c>
      <c r="B8" s="26"/>
      <c r="C8" s="31" t="str">
        <f>IF(OR('Summary Op Stmt (Operators)'!$B$20=0,'Summary Op Stmt (Operators)'!$B$20=""),"",B8/'Summary Op Stmt (Operators)'!$B$20)</f>
        <v/>
      </c>
      <c r="D8" s="26"/>
      <c r="E8" s="31" t="str">
        <f>IF(OR('Summary Op Stmt (Operators)'!$D$20=0,'Summary Op Stmt (Operators)'!$D$20=""),"",D8/'Summary Op Stmt (Operators)'!$D$20)</f>
        <v/>
      </c>
      <c r="F8" s="26"/>
      <c r="G8" s="31" t="str">
        <f>IF(OR('Summary Op Stmt (Operators)'!$F$20=0,'Summary Op Stmt (Operators)'!$F$20=""),"",F8/'Summary Op Stmt (Operators)'!$F$20)</f>
        <v/>
      </c>
      <c r="H8" s="26"/>
      <c r="I8" s="31" t="str">
        <f>IF(OR('Summary Op Stmt (Operators)'!$H$20=0,'Summary Op Stmt (Operators)'!$H$20=""),"",H8/'Summary Op Stmt (Operators)'!$H$20)</f>
        <v/>
      </c>
      <c r="J8" s="26"/>
      <c r="K8" s="31" t="str">
        <f>IF(OR('Summary Op Stmt (Operators)'!$J$20=0,'Summary Op Stmt (Operators)'!$J$20=""),"",J8/'Summary Op Stmt (Operators)'!$J$20)</f>
        <v/>
      </c>
      <c r="L8" s="26"/>
      <c r="M8" s="31" t="str">
        <f>IF(OR('Summary Op Stmt (Operators)'!$L$20=0,'Summary Op Stmt (Operators)'!$L$20=""),"",L8/'Summary Op Stmt (Operators)'!$L$20)</f>
        <v/>
      </c>
    </row>
    <row r="9" spans="1:13" x14ac:dyDescent="0.2">
      <c r="A9" s="25" t="s">
        <v>433</v>
      </c>
      <c r="B9" s="26"/>
      <c r="C9" s="31" t="str">
        <f>IF(OR('Summary Op Stmt (Operators)'!$B$20=0,'Summary Op Stmt (Operators)'!$B$20=""),"",B9/'Summary Op Stmt (Operators)'!$B$20)</f>
        <v/>
      </c>
      <c r="D9" s="26"/>
      <c r="E9" s="31" t="str">
        <f>IF(OR('Summary Op Stmt (Operators)'!$D$20=0,'Summary Op Stmt (Operators)'!$D$20=""),"",D9/'Summary Op Stmt (Operators)'!$D$20)</f>
        <v/>
      </c>
      <c r="F9" s="26"/>
      <c r="G9" s="31" t="str">
        <f>IF(OR('Summary Op Stmt (Operators)'!$F$20=0,'Summary Op Stmt (Operators)'!$F$20=""),"",F9/'Summary Op Stmt (Operators)'!$F$20)</f>
        <v/>
      </c>
      <c r="H9" s="26"/>
      <c r="I9" s="31" t="str">
        <f>IF(OR('Summary Op Stmt (Operators)'!$H$20=0,'Summary Op Stmt (Operators)'!$H$20=""),"",H9/'Summary Op Stmt (Operators)'!$H$20)</f>
        <v/>
      </c>
      <c r="J9" s="26"/>
      <c r="K9" s="31" t="str">
        <f>IF(OR('Summary Op Stmt (Operators)'!$J$20=0,'Summary Op Stmt (Operators)'!$J$20=""),"",J9/'Summary Op Stmt (Operators)'!$J$20)</f>
        <v/>
      </c>
      <c r="L9" s="26"/>
      <c r="M9" s="31" t="str">
        <f>IF(OR('Summary Op Stmt (Operators)'!$L$20=0,'Summary Op Stmt (Operators)'!$L$20=""),"",L9/'Summary Op Stmt (Operators)'!$L$20)</f>
        <v/>
      </c>
    </row>
    <row r="10" spans="1:13" x14ac:dyDescent="0.2">
      <c r="A10" s="38" t="s">
        <v>434</v>
      </c>
      <c r="B10" s="39">
        <f>B8+B9</f>
        <v>0</v>
      </c>
      <c r="C10" s="40" t="str">
        <f>IF(OR('Summary Op Stmt (Operators)'!$B$20=0,'Summary Op Stmt (Operators)'!$B$20=""),"",B10/'Summary Op Stmt (Operators)'!$B$20)</f>
        <v/>
      </c>
      <c r="D10" s="39">
        <f>D8+D9</f>
        <v>0</v>
      </c>
      <c r="E10" s="40" t="str">
        <f>IF(OR('Summary Op Stmt (Operators)'!$D$20=0,'Summary Op Stmt (Operators)'!$D$20=""),"",D10/'Summary Op Stmt (Operators)'!$D$20)</f>
        <v/>
      </c>
      <c r="F10" s="39">
        <f>F8+F9</f>
        <v>0</v>
      </c>
      <c r="G10" s="40" t="str">
        <f>IF(OR('Summary Op Stmt (Operators)'!$F$20=0,'Summary Op Stmt (Operators)'!$F$20=""),"",F10/'Summary Op Stmt (Operators)'!$F$20)</f>
        <v/>
      </c>
      <c r="H10" s="39">
        <f>H8+H9</f>
        <v>0</v>
      </c>
      <c r="I10" s="40" t="str">
        <f>IF(OR('Summary Op Stmt (Operators)'!$H$20=0,'Summary Op Stmt (Operators)'!$H$20=""),"",H10/'Summary Op Stmt (Operators)'!$H$20)</f>
        <v/>
      </c>
      <c r="J10" s="39">
        <f>J8+J9</f>
        <v>0</v>
      </c>
      <c r="K10" s="40" t="str">
        <f>IF(OR('Summary Op Stmt (Operators)'!$J$20=0,'Summary Op Stmt (Operators)'!$J$20=""),"",J10/'Summary Op Stmt (Operators)'!$J$20)</f>
        <v/>
      </c>
      <c r="L10" s="39">
        <f>L8+L9</f>
        <v>0</v>
      </c>
      <c r="M10" s="40" t="str">
        <f>IF(OR('Summary Op Stmt (Operators)'!$L$20=0,'Summary Op Stmt (Operators)'!$L$20=""),"",L10/'Summary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F3864"/>
  </sheetPr>
  <dimension ref="A1:M3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435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436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437</v>
      </c>
      <c r="B8" s="26"/>
      <c r="C8" s="31" t="str">
        <f>IF(OR('Summary Op Stmt (Operators)'!$B$20=0,'Summary Op Stmt (Operators)'!$B$20=""),"",B8/'Summary Op Stmt (Operators)'!$B$20)</f>
        <v/>
      </c>
      <c r="D8" s="26"/>
      <c r="E8" s="31" t="str">
        <f>IF(OR('Summary Op Stmt (Operators)'!$D$20=0,'Summary Op Stmt (Operators)'!$D$20=""),"",D8/'Summary Op Stmt (Operators)'!$D$20)</f>
        <v/>
      </c>
      <c r="F8" s="26"/>
      <c r="G8" s="31" t="str">
        <f>IF(OR('Summary Op Stmt (Operators)'!$F$20=0,'Summary Op Stmt (Operators)'!$F$20=""),"",F8/'Summary Op Stmt (Operators)'!$F$20)</f>
        <v/>
      </c>
      <c r="H8" s="26"/>
      <c r="I8" s="31" t="str">
        <f>IF(OR('Summary Op Stmt (Operators)'!$H$20=0,'Summary Op Stmt (Operators)'!$H$20=""),"",H8/'Summary Op Stmt (Operators)'!$H$20)</f>
        <v/>
      </c>
      <c r="J8" s="26"/>
      <c r="K8" s="31" t="str">
        <f>IF(OR('Summary Op Stmt (Operators)'!$J$20=0,'Summary Op Stmt (Operators)'!$J$20=""),"",J8/'Summary Op Stmt (Operators)'!$J$20)</f>
        <v/>
      </c>
      <c r="L8" s="26"/>
      <c r="M8" s="31" t="str">
        <f>IF(OR('Summary Op Stmt (Operators)'!$L$20=0,'Summary Op Stmt (Operators)'!$L$20=""),"",L8/'Summary Op Stmt (Operators)'!$L$20)</f>
        <v/>
      </c>
    </row>
    <row r="9" spans="1:13" x14ac:dyDescent="0.2">
      <c r="A9" s="25" t="s">
        <v>336</v>
      </c>
      <c r="B9" s="26"/>
      <c r="C9" s="31" t="str">
        <f>IF(OR('Summary Op Stmt (Operators)'!$B$20=0,'Summary Op Stmt (Operators)'!$B$20=""),"",B9/'Summary Op Stmt (Operators)'!$B$20)</f>
        <v/>
      </c>
      <c r="D9" s="26"/>
      <c r="E9" s="31" t="str">
        <f>IF(OR('Summary Op Stmt (Operators)'!$D$20=0,'Summary Op Stmt (Operators)'!$D$20=""),"",D9/'Summary Op Stmt (Operators)'!$D$20)</f>
        <v/>
      </c>
      <c r="F9" s="26"/>
      <c r="G9" s="31" t="str">
        <f>IF(OR('Summary Op Stmt (Operators)'!$F$20=0,'Summary Op Stmt (Operators)'!$F$20=""),"",F9/'Summary Op Stmt (Operators)'!$F$20)</f>
        <v/>
      </c>
      <c r="H9" s="26"/>
      <c r="I9" s="31" t="str">
        <f>IF(OR('Summary Op Stmt (Operators)'!$H$20=0,'Summary Op Stmt (Operators)'!$H$20=""),"",H9/'Summary Op Stmt (Operators)'!$H$20)</f>
        <v/>
      </c>
      <c r="J9" s="26"/>
      <c r="K9" s="31" t="str">
        <f>IF(OR('Summary Op Stmt (Operators)'!$J$20=0,'Summary Op Stmt (Operators)'!$J$20=""),"",J9/'Summary Op Stmt (Operators)'!$J$20)</f>
        <v/>
      </c>
      <c r="L9" s="26"/>
      <c r="M9" s="31" t="str">
        <f>IF(OR('Summary Op Stmt (Operators)'!$L$20=0,'Summary Op Stmt (Operators)'!$L$20=""),"",L9/'Summary Op Stmt (Operators)'!$L$20)</f>
        <v/>
      </c>
    </row>
    <row r="10" spans="1:13" x14ac:dyDescent="0.2">
      <c r="A10" s="25" t="s">
        <v>438</v>
      </c>
      <c r="B10" s="26"/>
      <c r="C10" s="31" t="str">
        <f>IF(OR('Summary Op Stmt (Operators)'!$B$20=0,'Summary Op Stmt (Operators)'!$B$20=""),"",B10/'Summary Op Stmt (Operators)'!$B$20)</f>
        <v/>
      </c>
      <c r="D10" s="26"/>
      <c r="E10" s="31" t="str">
        <f>IF(OR('Summary Op Stmt (Operators)'!$D$20=0,'Summary Op Stmt (Operators)'!$D$20=""),"",D10/'Summary Op Stmt (Operators)'!$D$20)</f>
        <v/>
      </c>
      <c r="F10" s="26"/>
      <c r="G10" s="31" t="str">
        <f>IF(OR('Summary Op Stmt (Operators)'!$F$20=0,'Summary Op Stmt (Operators)'!$F$20=""),"",F10/'Summary Op Stmt (Operators)'!$F$20)</f>
        <v/>
      </c>
      <c r="H10" s="26"/>
      <c r="I10" s="31" t="str">
        <f>IF(OR('Summary Op Stmt (Operators)'!$H$20=0,'Summary Op Stmt (Operators)'!$H$20=""),"",H10/'Summary Op Stmt (Operators)'!$H$20)</f>
        <v/>
      </c>
      <c r="J10" s="26"/>
      <c r="K10" s="31" t="str">
        <f>IF(OR('Summary Op Stmt (Operators)'!$J$20=0,'Summary Op Stmt (Operators)'!$J$20=""),"",J10/'Summary Op Stmt (Operators)'!$J$20)</f>
        <v/>
      </c>
      <c r="L10" s="26"/>
      <c r="M10" s="31" t="str">
        <f>IF(OR('Summary Op Stmt (Operators)'!$L$20=0,'Summary Op Stmt (Operators)'!$L$20=""),"",L10/'Summary Op Stmt (Operators)'!$L$20)</f>
        <v/>
      </c>
    </row>
    <row r="11" spans="1:13" x14ac:dyDescent="0.2">
      <c r="A11" s="35" t="s">
        <v>439</v>
      </c>
      <c r="B11" s="36">
        <f>B8+B9+B10</f>
        <v>0</v>
      </c>
      <c r="C11" s="37" t="str">
        <f>IF(OR('Summary Op Stmt (Operators)'!$B$20=0,'Summary Op Stmt (Operators)'!$B$20=""),"",B11/'Summary Op Stmt (Operators)'!$B$20)</f>
        <v/>
      </c>
      <c r="D11" s="36">
        <f>D8+D9+D10</f>
        <v>0</v>
      </c>
      <c r="E11" s="37" t="str">
        <f>IF(OR('Summary Op Stmt (Operators)'!$D$20=0,'Summary Op Stmt (Operators)'!$D$20=""),"",D11/'Summary Op Stmt (Operators)'!$D$20)</f>
        <v/>
      </c>
      <c r="F11" s="36">
        <f>F8+F9+F10</f>
        <v>0</v>
      </c>
      <c r="G11" s="37" t="str">
        <f>IF(OR('Summary Op Stmt (Operators)'!$F$20=0,'Summary Op Stmt (Operators)'!$F$20=""),"",F11/'Summary Op Stmt (Operators)'!$F$20)</f>
        <v/>
      </c>
      <c r="H11" s="36">
        <f>H8+H9+H10</f>
        <v>0</v>
      </c>
      <c r="I11" s="37" t="str">
        <f>IF(OR('Summary Op Stmt (Operators)'!$H$20=0,'Summary Op Stmt (Operators)'!$H$20=""),"",H11/'Summary Op Stmt (Operators)'!$H$20)</f>
        <v/>
      </c>
      <c r="J11" s="36">
        <f>J8+J9+J10</f>
        <v>0</v>
      </c>
      <c r="K11" s="37" t="str">
        <f>IF(OR('Summary Op Stmt (Operators)'!$J$20=0,'Summary Op Stmt (Operators)'!$J$20=""),"",J11/'Summary Op Stmt (Operators)'!$J$20)</f>
        <v/>
      </c>
      <c r="L11" s="36">
        <f>L8+L9+L10</f>
        <v>0</v>
      </c>
      <c r="M11" s="37" t="str">
        <f>IF(OR('Summary Op Stmt (Operators)'!$L$20=0,'Summary Op Stmt (Operators)'!$L$20=""),"",L11/'Summary Op Stmt (Operators)'!$L$20)</f>
        <v/>
      </c>
    </row>
    <row r="12" spans="1:13" x14ac:dyDescent="0.2">
      <c r="A12" s="23" t="s">
        <v>440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x14ac:dyDescent="0.2">
      <c r="A13" s="25" t="s">
        <v>441</v>
      </c>
      <c r="B13" s="26"/>
      <c r="C13" s="31" t="str">
        <f>IF(OR('Summary Op Stmt (Operators)'!$B$20=0,'Summary Op Stmt (Operators)'!$B$20=""),"",B13/'Summary Op Stmt (Operators)'!$B$20)</f>
        <v/>
      </c>
      <c r="D13" s="26"/>
      <c r="E13" s="31" t="str">
        <f>IF(OR('Summary Op Stmt (Operators)'!$D$20=0,'Summary Op Stmt (Operators)'!$D$20=""),"",D13/'Summary Op Stmt (Operators)'!$D$20)</f>
        <v/>
      </c>
      <c r="F13" s="26"/>
      <c r="G13" s="31" t="str">
        <f>IF(OR('Summary Op Stmt (Operators)'!$F$20=0,'Summary Op Stmt (Operators)'!$F$20=""),"",F13/'Summary Op Stmt (Operators)'!$F$20)</f>
        <v/>
      </c>
      <c r="H13" s="26"/>
      <c r="I13" s="31" t="str">
        <f>IF(OR('Summary Op Stmt (Operators)'!$H$20=0,'Summary Op Stmt (Operators)'!$H$20=""),"",H13/'Summary Op Stmt (Operators)'!$H$20)</f>
        <v/>
      </c>
      <c r="J13" s="26"/>
      <c r="K13" s="31" t="str">
        <f>IF(OR('Summary Op Stmt (Operators)'!$J$20=0,'Summary Op Stmt (Operators)'!$J$20=""),"",J13/'Summary Op Stmt (Operators)'!$J$20)</f>
        <v/>
      </c>
      <c r="L13" s="26"/>
      <c r="M13" s="31" t="str">
        <f>IF(OR('Summary Op Stmt (Operators)'!$L$20=0,'Summary Op Stmt (Operators)'!$L$20=""),"",L13/'Summary Op Stmt (Operators)'!$L$20)</f>
        <v/>
      </c>
    </row>
    <row r="14" spans="1:13" x14ac:dyDescent="0.2">
      <c r="A14" s="25" t="s">
        <v>442</v>
      </c>
      <c r="B14" s="26"/>
      <c r="C14" s="31" t="str">
        <f>IF(OR('Summary Op Stmt (Operators)'!$B$20=0,'Summary Op Stmt (Operators)'!$B$20=""),"",B14/'Summary Op Stmt (Operators)'!$B$20)</f>
        <v/>
      </c>
      <c r="D14" s="26"/>
      <c r="E14" s="31" t="str">
        <f>IF(OR('Summary Op Stmt (Operators)'!$D$20=0,'Summary Op Stmt (Operators)'!$D$20=""),"",D14/'Summary Op Stmt (Operators)'!$D$20)</f>
        <v/>
      </c>
      <c r="F14" s="26"/>
      <c r="G14" s="31" t="str">
        <f>IF(OR('Summary Op Stmt (Operators)'!$F$20=0,'Summary Op Stmt (Operators)'!$F$20=""),"",F14/'Summary Op Stmt (Operators)'!$F$20)</f>
        <v/>
      </c>
      <c r="H14" s="26"/>
      <c r="I14" s="31" t="str">
        <f>IF(OR('Summary Op Stmt (Operators)'!$H$20=0,'Summary Op Stmt (Operators)'!$H$20=""),"",H14/'Summary Op Stmt (Operators)'!$H$20)</f>
        <v/>
      </c>
      <c r="J14" s="26"/>
      <c r="K14" s="31" t="str">
        <f>IF(OR('Summary Op Stmt (Operators)'!$J$20=0,'Summary Op Stmt (Operators)'!$J$20=""),"",J14/'Summary Op Stmt (Operators)'!$J$20)</f>
        <v/>
      </c>
      <c r="L14" s="26"/>
      <c r="M14" s="31" t="str">
        <f>IF(OR('Summary Op Stmt (Operators)'!$L$20=0,'Summary Op Stmt (Operators)'!$L$20=""),"",L14/'Summary Op Stmt (Operators)'!$L$20)</f>
        <v/>
      </c>
    </row>
    <row r="15" spans="1:13" x14ac:dyDescent="0.2">
      <c r="A15" s="35" t="s">
        <v>443</v>
      </c>
      <c r="B15" s="36">
        <f>B13+B14</f>
        <v>0</v>
      </c>
      <c r="C15" s="37" t="str">
        <f>IF(OR('Summary Op Stmt (Operators)'!$B$20=0,'Summary Op Stmt (Operators)'!$B$20=""),"",B15/'Summary Op Stmt (Operators)'!$B$20)</f>
        <v/>
      </c>
      <c r="D15" s="36">
        <f>D13+D14</f>
        <v>0</v>
      </c>
      <c r="E15" s="37" t="str">
        <f>IF(OR('Summary Op Stmt (Operators)'!$D$20=0,'Summary Op Stmt (Operators)'!$D$20=""),"",D15/'Summary Op Stmt (Operators)'!$D$20)</f>
        <v/>
      </c>
      <c r="F15" s="36">
        <f>F13+F14</f>
        <v>0</v>
      </c>
      <c r="G15" s="37" t="str">
        <f>IF(OR('Summary Op Stmt (Operators)'!$F$20=0,'Summary Op Stmt (Operators)'!$F$20=""),"",F15/'Summary Op Stmt (Operators)'!$F$20)</f>
        <v/>
      </c>
      <c r="H15" s="36">
        <f>H13+H14</f>
        <v>0</v>
      </c>
      <c r="I15" s="37" t="str">
        <f>IF(OR('Summary Op Stmt (Operators)'!$H$20=0,'Summary Op Stmt (Operators)'!$H$20=""),"",H15/'Summary Op Stmt (Operators)'!$H$20)</f>
        <v/>
      </c>
      <c r="J15" s="36">
        <f>J13+J14</f>
        <v>0</v>
      </c>
      <c r="K15" s="37" t="str">
        <f>IF(OR('Summary Op Stmt (Operators)'!$J$20=0,'Summary Op Stmt (Operators)'!$J$20=""),"",J15/'Summary Op Stmt (Operators)'!$J$20)</f>
        <v/>
      </c>
      <c r="L15" s="36">
        <f>L13+L14</f>
        <v>0</v>
      </c>
      <c r="M15" s="37" t="str">
        <f>IF(OR('Summary Op Stmt (Operators)'!$L$20=0,'Summary Op Stmt (Operators)'!$L$20=""),"",L15/'Summary Op Stmt (Operators)'!$L$20)</f>
        <v/>
      </c>
    </row>
    <row r="16" spans="1:13" x14ac:dyDescent="0.2">
      <c r="A16" s="23" t="s">
        <v>444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x14ac:dyDescent="0.2">
      <c r="A17" s="25" t="s">
        <v>445</v>
      </c>
      <c r="B17" s="26"/>
      <c r="C17" s="31" t="str">
        <f>IF(OR('Summary Op Stmt (Operators)'!$B$20=0,'Summary Op Stmt (Operators)'!$B$20=""),"",B17/'Summary Op Stmt (Operators)'!$B$20)</f>
        <v/>
      </c>
      <c r="D17" s="26"/>
      <c r="E17" s="31" t="str">
        <f>IF(OR('Summary Op Stmt (Operators)'!$D$20=0,'Summary Op Stmt (Operators)'!$D$20=""),"",D17/'Summary Op Stmt (Operators)'!$D$20)</f>
        <v/>
      </c>
      <c r="F17" s="26"/>
      <c r="G17" s="31" t="str">
        <f>IF(OR('Summary Op Stmt (Operators)'!$F$20=0,'Summary Op Stmt (Operators)'!$F$20=""),"",F17/'Summary Op Stmt (Operators)'!$F$20)</f>
        <v/>
      </c>
      <c r="H17" s="26"/>
      <c r="I17" s="31" t="str">
        <f>IF(OR('Summary Op Stmt (Operators)'!$H$20=0,'Summary Op Stmt (Operators)'!$H$20=""),"",H17/'Summary Op Stmt (Operators)'!$H$20)</f>
        <v/>
      </c>
      <c r="J17" s="26"/>
      <c r="K17" s="31" t="str">
        <f>IF(OR('Summary Op Stmt (Operators)'!$J$20=0,'Summary Op Stmt (Operators)'!$J$20=""),"",J17/'Summary Op Stmt (Operators)'!$J$20)</f>
        <v/>
      </c>
      <c r="L17" s="26"/>
      <c r="M17" s="31" t="str">
        <f>IF(OR('Summary Op Stmt (Operators)'!$L$20=0,'Summary Op Stmt (Operators)'!$L$20=""),"",L17/'Summary Op Stmt (Operators)'!$L$20)</f>
        <v/>
      </c>
    </row>
    <row r="18" spans="1:13" x14ac:dyDescent="0.2">
      <c r="A18" s="25" t="s">
        <v>446</v>
      </c>
      <c r="B18" s="26"/>
      <c r="C18" s="31" t="str">
        <f>IF(OR('Summary Op Stmt (Operators)'!$B$20=0,'Summary Op Stmt (Operators)'!$B$20=""),"",B18/'Summary Op Stmt (Operators)'!$B$20)</f>
        <v/>
      </c>
      <c r="D18" s="26"/>
      <c r="E18" s="31" t="str">
        <f>IF(OR('Summary Op Stmt (Operators)'!$D$20=0,'Summary Op Stmt (Operators)'!$D$20=""),"",D18/'Summary Op Stmt (Operators)'!$D$20)</f>
        <v/>
      </c>
      <c r="F18" s="26"/>
      <c r="G18" s="31" t="str">
        <f>IF(OR('Summary Op Stmt (Operators)'!$F$20=0,'Summary Op Stmt (Operators)'!$F$20=""),"",F18/'Summary Op Stmt (Operators)'!$F$20)</f>
        <v/>
      </c>
      <c r="H18" s="26"/>
      <c r="I18" s="31" t="str">
        <f>IF(OR('Summary Op Stmt (Operators)'!$H$20=0,'Summary Op Stmt (Operators)'!$H$20=""),"",H18/'Summary Op Stmt (Operators)'!$H$20)</f>
        <v/>
      </c>
      <c r="J18" s="26"/>
      <c r="K18" s="31" t="str">
        <f>IF(OR('Summary Op Stmt (Operators)'!$J$20=0,'Summary Op Stmt (Operators)'!$J$20=""),"",J18/'Summary Op Stmt (Operators)'!$J$20)</f>
        <v/>
      </c>
      <c r="L18" s="26"/>
      <c r="M18" s="31" t="str">
        <f>IF(OR('Summary Op Stmt (Operators)'!$L$20=0,'Summary Op Stmt (Operators)'!$L$20=""),"",L18/'Summary Op Stmt (Operators)'!$L$20)</f>
        <v/>
      </c>
    </row>
    <row r="19" spans="1:13" x14ac:dyDescent="0.2">
      <c r="A19" s="25" t="s">
        <v>447</v>
      </c>
      <c r="B19" s="26"/>
      <c r="C19" s="31" t="str">
        <f>IF(OR('Summary Op Stmt (Operators)'!$B$20=0,'Summary Op Stmt (Operators)'!$B$20=""),"",B19/'Summary Op Stmt (Operators)'!$B$20)</f>
        <v/>
      </c>
      <c r="D19" s="26"/>
      <c r="E19" s="31" t="str">
        <f>IF(OR('Summary Op Stmt (Operators)'!$D$20=0,'Summary Op Stmt (Operators)'!$D$20=""),"",D19/'Summary Op Stmt (Operators)'!$D$20)</f>
        <v/>
      </c>
      <c r="F19" s="26"/>
      <c r="G19" s="31" t="str">
        <f>IF(OR('Summary Op Stmt (Operators)'!$F$20=0,'Summary Op Stmt (Operators)'!$F$20=""),"",F19/'Summary Op Stmt (Operators)'!$F$20)</f>
        <v/>
      </c>
      <c r="H19" s="26"/>
      <c r="I19" s="31" t="str">
        <f>IF(OR('Summary Op Stmt (Operators)'!$H$20=0,'Summary Op Stmt (Operators)'!$H$20=""),"",H19/'Summary Op Stmt (Operators)'!$H$20)</f>
        <v/>
      </c>
      <c r="J19" s="26"/>
      <c r="K19" s="31" t="str">
        <f>IF(OR('Summary Op Stmt (Operators)'!$J$20=0,'Summary Op Stmt (Operators)'!$J$20=""),"",J19/'Summary Op Stmt (Operators)'!$J$20)</f>
        <v/>
      </c>
      <c r="L19" s="26"/>
      <c r="M19" s="31" t="str">
        <f>IF(OR('Summary Op Stmt (Operators)'!$L$20=0,'Summary Op Stmt (Operators)'!$L$20=""),"",L19/'Summary Op Stmt (Operators)'!$L$20)</f>
        <v/>
      </c>
    </row>
    <row r="20" spans="1:13" x14ac:dyDescent="0.2">
      <c r="A20" s="25" t="s">
        <v>448</v>
      </c>
      <c r="B20" s="26"/>
      <c r="C20" s="31" t="str">
        <f>IF(OR('Summary Op Stmt (Operators)'!$B$20=0,'Summary Op Stmt (Operators)'!$B$20=""),"",B20/'Summary Op Stmt (Operators)'!$B$20)</f>
        <v/>
      </c>
      <c r="D20" s="26"/>
      <c r="E20" s="31" t="str">
        <f>IF(OR('Summary Op Stmt (Operators)'!$D$20=0,'Summary Op Stmt (Operators)'!$D$20=""),"",D20/'Summary Op Stmt (Operators)'!$D$20)</f>
        <v/>
      </c>
      <c r="F20" s="26"/>
      <c r="G20" s="31" t="str">
        <f>IF(OR('Summary Op Stmt (Operators)'!$F$20=0,'Summary Op Stmt (Operators)'!$F$20=""),"",F20/'Summary Op Stmt (Operators)'!$F$20)</f>
        <v/>
      </c>
      <c r="H20" s="26"/>
      <c r="I20" s="31" t="str">
        <f>IF(OR('Summary Op Stmt (Operators)'!$H$20=0,'Summary Op Stmt (Operators)'!$H$20=""),"",H20/'Summary Op Stmt (Operators)'!$H$20)</f>
        <v/>
      </c>
      <c r="J20" s="26"/>
      <c r="K20" s="31" t="str">
        <f>IF(OR('Summary Op Stmt (Operators)'!$J$20=0,'Summary Op Stmt (Operators)'!$J$20=""),"",J20/'Summary Op Stmt (Operators)'!$J$20)</f>
        <v/>
      </c>
      <c r="L20" s="26"/>
      <c r="M20" s="31" t="str">
        <f>IF(OR('Summary Op Stmt (Operators)'!$L$20=0,'Summary Op Stmt (Operators)'!$L$20=""),"",L20/'Summary Op Stmt (Operators)'!$L$20)</f>
        <v/>
      </c>
    </row>
    <row r="21" spans="1:13" x14ac:dyDescent="0.2">
      <c r="A21" s="35" t="s">
        <v>449</v>
      </c>
      <c r="B21" s="36">
        <f>B17+B18+B19+B20</f>
        <v>0</v>
      </c>
      <c r="C21" s="37" t="str">
        <f>IF(OR('Summary Op Stmt (Operators)'!$B$20=0,'Summary Op Stmt (Operators)'!$B$20=""),"",B21/'Summary Op Stmt (Operators)'!$B$20)</f>
        <v/>
      </c>
      <c r="D21" s="36">
        <f>D17+D18+D19+D20</f>
        <v>0</v>
      </c>
      <c r="E21" s="37" t="str">
        <f>IF(OR('Summary Op Stmt (Operators)'!$D$20=0,'Summary Op Stmt (Operators)'!$D$20=""),"",D21/'Summary Op Stmt (Operators)'!$D$20)</f>
        <v/>
      </c>
      <c r="F21" s="36">
        <f>F17+F18+F19+F20</f>
        <v>0</v>
      </c>
      <c r="G21" s="37" t="str">
        <f>IF(OR('Summary Op Stmt (Operators)'!$F$20=0,'Summary Op Stmt (Operators)'!$F$20=""),"",F21/'Summary Op Stmt (Operators)'!$F$20)</f>
        <v/>
      </c>
      <c r="H21" s="36">
        <f>H17+H18+H19+H20</f>
        <v>0</v>
      </c>
      <c r="I21" s="37" t="str">
        <f>IF(OR('Summary Op Stmt (Operators)'!$H$20=0,'Summary Op Stmt (Operators)'!$H$20=""),"",H21/'Summary Op Stmt (Operators)'!$H$20)</f>
        <v/>
      </c>
      <c r="J21" s="36">
        <f>J17+J18+J19+J20</f>
        <v>0</v>
      </c>
      <c r="K21" s="37" t="str">
        <f>IF(OR('Summary Op Stmt (Operators)'!$J$20=0,'Summary Op Stmt (Operators)'!$J$20=""),"",J21/'Summary Op Stmt (Operators)'!$J$20)</f>
        <v/>
      </c>
      <c r="L21" s="36">
        <f>L17+L18+L19+L20</f>
        <v>0</v>
      </c>
      <c r="M21" s="37" t="str">
        <f>IF(OR('Summary Op Stmt (Operators)'!$L$20=0,'Summary Op Stmt (Operators)'!$L$20=""),"",L21/'Summary Op Stmt (Operators)'!$L$20)</f>
        <v/>
      </c>
    </row>
    <row r="22" spans="1:13" x14ac:dyDescent="0.2">
      <c r="A22" s="23" t="s">
        <v>450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2">
      <c r="A23" s="25" t="s">
        <v>451</v>
      </c>
      <c r="B23" s="26"/>
      <c r="C23" s="31" t="str">
        <f>IF(OR('Summary Op Stmt (Operators)'!$B$20=0,'Summary Op Stmt (Operators)'!$B$20=""),"",B23/'Summary Op Stmt (Operators)'!$B$20)</f>
        <v/>
      </c>
      <c r="D23" s="26"/>
      <c r="E23" s="31" t="str">
        <f>IF(OR('Summary Op Stmt (Operators)'!$D$20=0,'Summary Op Stmt (Operators)'!$D$20=""),"",D23/'Summary Op Stmt (Operators)'!$D$20)</f>
        <v/>
      </c>
      <c r="F23" s="26"/>
      <c r="G23" s="31" t="str">
        <f>IF(OR('Summary Op Stmt (Operators)'!$F$20=0,'Summary Op Stmt (Operators)'!$F$20=""),"",F23/'Summary Op Stmt (Operators)'!$F$20)</f>
        <v/>
      </c>
      <c r="H23" s="26"/>
      <c r="I23" s="31" t="str">
        <f>IF(OR('Summary Op Stmt (Operators)'!$H$20=0,'Summary Op Stmt (Operators)'!$H$20=""),"",H23/'Summary Op Stmt (Operators)'!$H$20)</f>
        <v/>
      </c>
      <c r="J23" s="26"/>
      <c r="K23" s="31" t="str">
        <f>IF(OR('Summary Op Stmt (Operators)'!$J$20=0,'Summary Op Stmt (Operators)'!$J$20=""),"",J23/'Summary Op Stmt (Operators)'!$J$20)</f>
        <v/>
      </c>
      <c r="L23" s="26"/>
      <c r="M23" s="31" t="str">
        <f>IF(OR('Summary Op Stmt (Operators)'!$L$20=0,'Summary Op Stmt (Operators)'!$L$20=""),"",L23/'Summary Op Stmt (Operators)'!$L$20)</f>
        <v/>
      </c>
    </row>
    <row r="24" spans="1:13" x14ac:dyDescent="0.2">
      <c r="A24" s="25" t="s">
        <v>452</v>
      </c>
      <c r="B24" s="26"/>
      <c r="C24" s="31" t="str">
        <f>IF(OR('Summary Op Stmt (Operators)'!$B$20=0,'Summary Op Stmt (Operators)'!$B$20=""),"",B24/'Summary Op Stmt (Operators)'!$B$20)</f>
        <v/>
      </c>
      <c r="D24" s="26"/>
      <c r="E24" s="31" t="str">
        <f>IF(OR('Summary Op Stmt (Operators)'!$D$20=0,'Summary Op Stmt (Operators)'!$D$20=""),"",D24/'Summary Op Stmt (Operators)'!$D$20)</f>
        <v/>
      </c>
      <c r="F24" s="26"/>
      <c r="G24" s="31" t="str">
        <f>IF(OR('Summary Op Stmt (Operators)'!$F$20=0,'Summary Op Stmt (Operators)'!$F$20=""),"",F24/'Summary Op Stmt (Operators)'!$F$20)</f>
        <v/>
      </c>
      <c r="H24" s="26"/>
      <c r="I24" s="31" t="str">
        <f>IF(OR('Summary Op Stmt (Operators)'!$H$20=0,'Summary Op Stmt (Operators)'!$H$20=""),"",H24/'Summary Op Stmt (Operators)'!$H$20)</f>
        <v/>
      </c>
      <c r="J24" s="26"/>
      <c r="K24" s="31" t="str">
        <f>IF(OR('Summary Op Stmt (Operators)'!$J$20=0,'Summary Op Stmt (Operators)'!$J$20=""),"",J24/'Summary Op Stmt (Operators)'!$J$20)</f>
        <v/>
      </c>
      <c r="L24" s="26"/>
      <c r="M24" s="31" t="str">
        <f>IF(OR('Summary Op Stmt (Operators)'!$L$20=0,'Summary Op Stmt (Operators)'!$L$20=""),"",L24/'Summary Op Stmt (Operators)'!$L$20)</f>
        <v/>
      </c>
    </row>
    <row r="25" spans="1:13" x14ac:dyDescent="0.2">
      <c r="A25" s="25" t="s">
        <v>453</v>
      </c>
      <c r="B25" s="26"/>
      <c r="C25" s="31" t="str">
        <f>IF(OR('Summary Op Stmt (Operators)'!$B$20=0,'Summary Op Stmt (Operators)'!$B$20=""),"",B25/'Summary Op Stmt (Operators)'!$B$20)</f>
        <v/>
      </c>
      <c r="D25" s="26"/>
      <c r="E25" s="31" t="str">
        <f>IF(OR('Summary Op Stmt (Operators)'!$D$20=0,'Summary Op Stmt (Operators)'!$D$20=""),"",D25/'Summary Op Stmt (Operators)'!$D$20)</f>
        <v/>
      </c>
      <c r="F25" s="26"/>
      <c r="G25" s="31" t="str">
        <f>IF(OR('Summary Op Stmt (Operators)'!$F$20=0,'Summary Op Stmt (Operators)'!$F$20=""),"",F25/'Summary Op Stmt (Operators)'!$F$20)</f>
        <v/>
      </c>
      <c r="H25" s="26"/>
      <c r="I25" s="31" t="str">
        <f>IF(OR('Summary Op Stmt (Operators)'!$H$20=0,'Summary Op Stmt (Operators)'!$H$20=""),"",H25/'Summary Op Stmt (Operators)'!$H$20)</f>
        <v/>
      </c>
      <c r="J25" s="26"/>
      <c r="K25" s="31" t="str">
        <f>IF(OR('Summary Op Stmt (Operators)'!$J$20=0,'Summary Op Stmt (Operators)'!$J$20=""),"",J25/'Summary Op Stmt (Operators)'!$J$20)</f>
        <v/>
      </c>
      <c r="L25" s="26"/>
      <c r="M25" s="31" t="str">
        <f>IF(OR('Summary Op Stmt (Operators)'!$L$20=0,'Summary Op Stmt (Operators)'!$L$20=""),"",L25/'Summary Op Stmt (Operators)'!$L$20)</f>
        <v/>
      </c>
    </row>
    <row r="26" spans="1:13" x14ac:dyDescent="0.2">
      <c r="A26" s="35" t="s">
        <v>454</v>
      </c>
      <c r="B26" s="36">
        <f>B23+B24+B25</f>
        <v>0</v>
      </c>
      <c r="C26" s="37" t="str">
        <f>IF(OR('Summary Op Stmt (Operators)'!$B$20=0,'Summary Op Stmt (Operators)'!$B$20=""),"",B26/'Summary Op Stmt (Operators)'!$B$20)</f>
        <v/>
      </c>
      <c r="D26" s="36">
        <f>D23+D24+D25</f>
        <v>0</v>
      </c>
      <c r="E26" s="37" t="str">
        <f>IF(OR('Summary Op Stmt (Operators)'!$D$20=0,'Summary Op Stmt (Operators)'!$D$20=""),"",D26/'Summary Op Stmt (Operators)'!$D$20)</f>
        <v/>
      </c>
      <c r="F26" s="36">
        <f>F23+F24+F25</f>
        <v>0</v>
      </c>
      <c r="G26" s="37" t="str">
        <f>IF(OR('Summary Op Stmt (Operators)'!$F$20=0,'Summary Op Stmt (Operators)'!$F$20=""),"",F26/'Summary Op Stmt (Operators)'!$F$20)</f>
        <v/>
      </c>
      <c r="H26" s="36">
        <f>H23+H24+H25</f>
        <v>0</v>
      </c>
      <c r="I26" s="37" t="str">
        <f>IF(OR('Summary Op Stmt (Operators)'!$H$20=0,'Summary Op Stmt (Operators)'!$H$20=""),"",H26/'Summary Op Stmt (Operators)'!$H$20)</f>
        <v/>
      </c>
      <c r="J26" s="36">
        <f>J23+J24+J25</f>
        <v>0</v>
      </c>
      <c r="K26" s="37" t="str">
        <f>IF(OR('Summary Op Stmt (Operators)'!$J$20=0,'Summary Op Stmt (Operators)'!$J$20=""),"",J26/'Summary Op Stmt (Operators)'!$J$20)</f>
        <v/>
      </c>
      <c r="L26" s="36">
        <f>L23+L24+L25</f>
        <v>0</v>
      </c>
      <c r="M26" s="37" t="str">
        <f>IF(OR('Summary Op Stmt (Operators)'!$L$20=0,'Summary Op Stmt (Operators)'!$L$20=""),"",L26/'Summary Op Stmt (Operators)'!$L$20)</f>
        <v/>
      </c>
    </row>
    <row r="27" spans="1:13" x14ac:dyDescent="0.2">
      <c r="A27" s="23" t="s">
        <v>455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2">
      <c r="A28" s="25" t="s">
        <v>456</v>
      </c>
      <c r="B28" s="26"/>
      <c r="C28" s="31" t="str">
        <f>IF(OR('Summary Op Stmt (Operators)'!$B$20=0,'Summary Op Stmt (Operators)'!$B$20=""),"",B28/'Summary Op Stmt (Operators)'!$B$20)</f>
        <v/>
      </c>
      <c r="D28" s="26"/>
      <c r="E28" s="31" t="str">
        <f>IF(OR('Summary Op Stmt (Operators)'!$D$20=0,'Summary Op Stmt (Operators)'!$D$20=""),"",D28/'Summary Op Stmt (Operators)'!$D$20)</f>
        <v/>
      </c>
      <c r="F28" s="26"/>
      <c r="G28" s="31" t="str">
        <f>IF(OR('Summary Op Stmt (Operators)'!$F$20=0,'Summary Op Stmt (Operators)'!$F$20=""),"",F28/'Summary Op Stmt (Operators)'!$F$20)</f>
        <v/>
      </c>
      <c r="H28" s="26"/>
      <c r="I28" s="31" t="str">
        <f>IF(OR('Summary Op Stmt (Operators)'!$H$20=0,'Summary Op Stmt (Operators)'!$H$20=""),"",H28/'Summary Op Stmt (Operators)'!$H$20)</f>
        <v/>
      </c>
      <c r="J28" s="26"/>
      <c r="K28" s="31" t="str">
        <f>IF(OR('Summary Op Stmt (Operators)'!$J$20=0,'Summary Op Stmt (Operators)'!$J$20=""),"",J28/'Summary Op Stmt (Operators)'!$J$20)</f>
        <v/>
      </c>
      <c r="L28" s="26"/>
      <c r="M28" s="31" t="str">
        <f>IF(OR('Summary Op Stmt (Operators)'!$L$20=0,'Summary Op Stmt (Operators)'!$L$20=""),"",L28/'Summary Op Stmt (Operators)'!$L$20)</f>
        <v/>
      </c>
    </row>
    <row r="29" spans="1:13" x14ac:dyDescent="0.2">
      <c r="A29" s="25" t="s">
        <v>457</v>
      </c>
      <c r="B29" s="26"/>
      <c r="C29" s="31" t="str">
        <f>IF(OR('Summary Op Stmt (Operators)'!$B$20=0,'Summary Op Stmt (Operators)'!$B$20=""),"",B29/'Summary Op Stmt (Operators)'!$B$20)</f>
        <v/>
      </c>
      <c r="D29" s="26"/>
      <c r="E29" s="31" t="str">
        <f>IF(OR('Summary Op Stmt (Operators)'!$D$20=0,'Summary Op Stmt (Operators)'!$D$20=""),"",D29/'Summary Op Stmt (Operators)'!$D$20)</f>
        <v/>
      </c>
      <c r="F29" s="26"/>
      <c r="G29" s="31" t="str">
        <f>IF(OR('Summary Op Stmt (Operators)'!$F$20=0,'Summary Op Stmt (Operators)'!$F$20=""),"",F29/'Summary Op Stmt (Operators)'!$F$20)</f>
        <v/>
      </c>
      <c r="H29" s="26"/>
      <c r="I29" s="31" t="str">
        <f>IF(OR('Summary Op Stmt (Operators)'!$H$20=0,'Summary Op Stmt (Operators)'!$H$20=""),"",H29/'Summary Op Stmt (Operators)'!$H$20)</f>
        <v/>
      </c>
      <c r="J29" s="26"/>
      <c r="K29" s="31" t="str">
        <f>IF(OR('Summary Op Stmt (Operators)'!$J$20=0,'Summary Op Stmt (Operators)'!$J$20=""),"",J29/'Summary Op Stmt (Operators)'!$J$20)</f>
        <v/>
      </c>
      <c r="L29" s="26"/>
      <c r="M29" s="31" t="str">
        <f>IF(OR('Summary Op Stmt (Operators)'!$L$20=0,'Summary Op Stmt (Operators)'!$L$20=""),"",L29/'Summary Op Stmt (Operators)'!$L$20)</f>
        <v/>
      </c>
    </row>
    <row r="30" spans="1:13" x14ac:dyDescent="0.2">
      <c r="A30" s="25" t="s">
        <v>458</v>
      </c>
      <c r="B30" s="26"/>
      <c r="C30" s="31" t="str">
        <f>IF(OR('Summary Op Stmt (Operators)'!$B$20=0,'Summary Op Stmt (Operators)'!$B$20=""),"",B30/'Summary Op Stmt (Operators)'!$B$20)</f>
        <v/>
      </c>
      <c r="D30" s="26"/>
      <c r="E30" s="31" t="str">
        <f>IF(OR('Summary Op Stmt (Operators)'!$D$20=0,'Summary Op Stmt (Operators)'!$D$20=""),"",D30/'Summary Op Stmt (Operators)'!$D$20)</f>
        <v/>
      </c>
      <c r="F30" s="26"/>
      <c r="G30" s="31" t="str">
        <f>IF(OR('Summary Op Stmt (Operators)'!$F$20=0,'Summary Op Stmt (Operators)'!$F$20=""),"",F30/'Summary Op Stmt (Operators)'!$F$20)</f>
        <v/>
      </c>
      <c r="H30" s="26"/>
      <c r="I30" s="31" t="str">
        <f>IF(OR('Summary Op Stmt (Operators)'!$H$20=0,'Summary Op Stmt (Operators)'!$H$20=""),"",H30/'Summary Op Stmt (Operators)'!$H$20)</f>
        <v/>
      </c>
      <c r="J30" s="26"/>
      <c r="K30" s="31" t="str">
        <f>IF(OR('Summary Op Stmt (Operators)'!$J$20=0,'Summary Op Stmt (Operators)'!$J$20=""),"",J30/'Summary Op Stmt (Operators)'!$J$20)</f>
        <v/>
      </c>
      <c r="L30" s="26"/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459</v>
      </c>
      <c r="B31" s="26"/>
      <c r="C31" s="31" t="str">
        <f>IF(OR('Summary Op Stmt (Operators)'!$B$20=0,'Summary Op Stmt (Operators)'!$B$20=""),"",B31/'Summary Op Stmt (Operators)'!$B$20)</f>
        <v/>
      </c>
      <c r="D31" s="26"/>
      <c r="E31" s="31" t="str">
        <f>IF(OR('Summary Op Stmt (Operators)'!$D$20=0,'Summary Op Stmt (Operators)'!$D$20=""),"",D31/'Summary Op Stmt (Operators)'!$D$20)</f>
        <v/>
      </c>
      <c r="F31" s="26"/>
      <c r="G31" s="31" t="str">
        <f>IF(OR('Summary Op Stmt (Operators)'!$F$20=0,'Summary Op Stmt (Operators)'!$F$20=""),"",F31/'Summary Op Stmt (Operators)'!$F$20)</f>
        <v/>
      </c>
      <c r="H31" s="26"/>
      <c r="I31" s="31" t="str">
        <f>IF(OR('Summary Op Stmt (Operators)'!$H$20=0,'Summary Op Stmt (Operators)'!$H$20=""),"",H31/'Summary Op Stmt (Operators)'!$H$20)</f>
        <v/>
      </c>
      <c r="J31" s="26"/>
      <c r="K31" s="31" t="str">
        <f>IF(OR('Summary Op Stmt (Operators)'!$J$20=0,'Summary Op Stmt (Operators)'!$J$20=""),"",J31/'Summary Op Stmt (Operators)'!$J$20)</f>
        <v/>
      </c>
      <c r="L31" s="26"/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35" t="s">
        <v>460</v>
      </c>
      <c r="B32" s="36">
        <f>B28+B29+B30+B31</f>
        <v>0</v>
      </c>
      <c r="C32" s="37" t="str">
        <f>IF(OR('Summary Op Stmt (Operators)'!$B$20=0,'Summary Op Stmt (Operators)'!$B$20=""),"",B32/'Summary Op Stmt (Operators)'!$B$20)</f>
        <v/>
      </c>
      <c r="D32" s="36">
        <f>D28+D29+D30+D31</f>
        <v>0</v>
      </c>
      <c r="E32" s="37" t="str">
        <f>IF(OR('Summary Op Stmt (Operators)'!$D$20=0,'Summary Op Stmt (Operators)'!$D$20=""),"",D32/'Summary Op Stmt (Operators)'!$D$20)</f>
        <v/>
      </c>
      <c r="F32" s="36">
        <f>F28+F29+F30+F31</f>
        <v>0</v>
      </c>
      <c r="G32" s="37" t="str">
        <f>IF(OR('Summary Op Stmt (Operators)'!$F$20=0,'Summary Op Stmt (Operators)'!$F$20=""),"",F32/'Summary Op Stmt (Operators)'!$F$20)</f>
        <v/>
      </c>
      <c r="H32" s="36">
        <f>H28+H29+H30+H31</f>
        <v>0</v>
      </c>
      <c r="I32" s="37" t="str">
        <f>IF(OR('Summary Op Stmt (Operators)'!$H$20=0,'Summary Op Stmt (Operators)'!$H$20=""),"",H32/'Summary Op Stmt (Operators)'!$H$20)</f>
        <v/>
      </c>
      <c r="J32" s="36">
        <f>J28+J29+J30+J31</f>
        <v>0</v>
      </c>
      <c r="K32" s="37" t="str">
        <f>IF(OR('Summary Op Stmt (Operators)'!$J$20=0,'Summary Op Stmt (Operators)'!$J$20=""),"",J32/'Summary Op Stmt (Operators)'!$J$20)</f>
        <v/>
      </c>
      <c r="L32" s="36">
        <f>L28+L29+L30+L31</f>
        <v>0</v>
      </c>
      <c r="M32" s="37" t="str">
        <f>IF(OR('Summary Op Stmt (Operators)'!$L$20=0,'Summary Op Stmt (Operators)'!$L$20=""),"",L32/'Summary Op Stmt (Operators)'!$L$20)</f>
        <v/>
      </c>
    </row>
    <row r="33" spans="1:13" x14ac:dyDescent="0.2">
      <c r="A33" s="38" t="s">
        <v>461</v>
      </c>
      <c r="B33" s="39">
        <f>B15+B21+B26+B32-B11</f>
        <v>0</v>
      </c>
      <c r="C33" s="40" t="str">
        <f>IF(OR('Summary Op Stmt (Operators)'!$B$20=0,'Summary Op Stmt (Operators)'!$B$20=""),"",B33/'Summary Op Stmt (Operators)'!$B$20)</f>
        <v/>
      </c>
      <c r="D33" s="39">
        <f>D15+D21+D26+D32-D11</f>
        <v>0</v>
      </c>
      <c r="E33" s="40" t="str">
        <f>IF(OR('Summary Op Stmt (Operators)'!$D$20=0,'Summary Op Stmt (Operators)'!$D$20=""),"",D33/'Summary Op Stmt (Operators)'!$D$20)</f>
        <v/>
      </c>
      <c r="F33" s="39">
        <f>F15+F21+F26+F32-F11</f>
        <v>0</v>
      </c>
      <c r="G33" s="40" t="str">
        <f>IF(OR('Summary Op Stmt (Operators)'!$F$20=0,'Summary Op Stmt (Operators)'!$F$20=""),"",F33/'Summary Op Stmt (Operators)'!$F$20)</f>
        <v/>
      </c>
      <c r="H33" s="39">
        <f>H15+H21+H26+H32-H11</f>
        <v>0</v>
      </c>
      <c r="I33" s="40" t="str">
        <f>IF(OR('Summary Op Stmt (Operators)'!$H$20=0,'Summary Op Stmt (Operators)'!$H$20=""),"",H33/'Summary Op Stmt (Operators)'!$H$20)</f>
        <v/>
      </c>
      <c r="J33" s="39">
        <f>J15+J21+J26+J32-J11</f>
        <v>0</v>
      </c>
      <c r="K33" s="40" t="str">
        <f>IF(OR('Summary Op Stmt (Operators)'!$J$20=0,'Summary Op Stmt (Operators)'!$J$20=""),"",J33/'Summary Op Stmt (Operators)'!$J$20)</f>
        <v/>
      </c>
      <c r="L33" s="39">
        <f>L15+L21+L26+L32-L11</f>
        <v>0</v>
      </c>
      <c r="M33" s="40" t="str">
        <f>IF(OR('Summary Op Stmt (Operators)'!$L$20=0,'Summary Op Stmt (Operators)'!$L$20=""),"",L33/'Summary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F3864"/>
  </sheetPr>
  <dimension ref="A1:M57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463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148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3" t="s">
        <v>149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">
      <c r="A9" s="23" t="s">
        <v>150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">
      <c r="A10" s="23" t="s">
        <v>151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">
      <c r="A11" s="25" t="s">
        <v>152</v>
      </c>
      <c r="B11" s="26"/>
      <c r="D11" s="26"/>
      <c r="F11" s="26"/>
      <c r="H11" s="26"/>
      <c r="J11" s="26"/>
      <c r="L11" s="26"/>
    </row>
    <row r="12" spans="1:13" x14ac:dyDescent="0.2">
      <c r="A12" s="25" t="s">
        <v>153</v>
      </c>
      <c r="B12" s="26"/>
      <c r="D12" s="26"/>
      <c r="F12" s="26"/>
      <c r="H12" s="26"/>
      <c r="J12" s="26"/>
      <c r="L12" s="26"/>
    </row>
    <row r="13" spans="1:13" x14ac:dyDescent="0.2">
      <c r="A13" s="35" t="s">
        <v>160</v>
      </c>
      <c r="B13" s="36">
        <f>B11+B12</f>
        <v>0</v>
      </c>
      <c r="C13" s="41"/>
      <c r="D13" s="36">
        <f>D11+D12</f>
        <v>0</v>
      </c>
      <c r="E13" s="41"/>
      <c r="F13" s="36">
        <f>F11+F12</f>
        <v>0</v>
      </c>
      <c r="G13" s="41"/>
      <c r="H13" s="36">
        <f>H11+H12</f>
        <v>0</v>
      </c>
      <c r="I13" s="41"/>
      <c r="J13" s="36">
        <f>J11+J12</f>
        <v>0</v>
      </c>
      <c r="K13" s="41"/>
      <c r="L13" s="36">
        <f>L11+L12</f>
        <v>0</v>
      </c>
      <c r="M13" s="41"/>
    </row>
    <row r="14" spans="1:13" x14ac:dyDescent="0.2">
      <c r="A14" s="25" t="s">
        <v>161</v>
      </c>
      <c r="B14" s="26"/>
      <c r="D14" s="26"/>
      <c r="F14" s="26"/>
      <c r="H14" s="26"/>
      <c r="J14" s="26"/>
      <c r="L14" s="26"/>
    </row>
    <row r="15" spans="1:13" x14ac:dyDescent="0.2">
      <c r="A15" s="25" t="s">
        <v>162</v>
      </c>
      <c r="B15" s="26"/>
      <c r="D15" s="26"/>
      <c r="F15" s="26"/>
      <c r="H15" s="26"/>
      <c r="J15" s="26"/>
      <c r="L15" s="26"/>
    </row>
    <row r="16" spans="1:13" x14ac:dyDescent="0.2">
      <c r="A16" s="25" t="s">
        <v>163</v>
      </c>
      <c r="B16" s="26"/>
      <c r="D16" s="26"/>
      <c r="F16" s="26"/>
      <c r="H16" s="26"/>
      <c r="J16" s="26"/>
      <c r="L16" s="26"/>
    </row>
    <row r="17" spans="1:13" x14ac:dyDescent="0.2">
      <c r="A17" s="35" t="s">
        <v>164</v>
      </c>
      <c r="B17" s="36">
        <f>B13+B14+B15+B16</f>
        <v>0</v>
      </c>
      <c r="C17" s="37" t="str">
        <f>IF(OR('Summary Op Stmt (Operators)'!$B$20=0,'Summary Op Stmt (Operators)'!$B$20=""),"",B17/'Summary Op Stmt (Operators)'!$B$20)</f>
        <v/>
      </c>
      <c r="D17" s="36">
        <f>D13+D14+D15+D16</f>
        <v>0</v>
      </c>
      <c r="E17" s="37" t="str">
        <f>IF(OR('Summary Op Stmt (Operators)'!$D$20=0,'Summary Op Stmt (Operators)'!$D$20=""),"",D17/'Summary Op Stmt (Operators)'!$D$20)</f>
        <v/>
      </c>
      <c r="F17" s="36">
        <f>F13+F14+F15+F16</f>
        <v>0</v>
      </c>
      <c r="G17" s="37" t="str">
        <f>IF(OR('Summary Op Stmt (Operators)'!$F$20=0,'Summary Op Stmt (Operators)'!$F$20=""),"",F17/'Summary Op Stmt (Operators)'!$F$20)</f>
        <v/>
      </c>
      <c r="H17" s="36">
        <f>H13+H14+H15+H16</f>
        <v>0</v>
      </c>
      <c r="I17" s="37" t="str">
        <f>IF(OR('Summary Op Stmt (Operators)'!$H$20=0,'Summary Op Stmt (Operators)'!$H$20=""),"",H17/'Summary Op Stmt (Operators)'!$H$20)</f>
        <v/>
      </c>
      <c r="J17" s="36">
        <f>J13+J14+J15+J16</f>
        <v>0</v>
      </c>
      <c r="K17" s="37" t="str">
        <f>IF(OR('Summary Op Stmt (Operators)'!$J$20=0,'Summary Op Stmt (Operators)'!$J$20=""),"",J17/'Summary Op Stmt (Operators)'!$J$20)</f>
        <v/>
      </c>
      <c r="L17" s="36">
        <f>L13+L14+L15+L16</f>
        <v>0</v>
      </c>
      <c r="M17" s="37" t="str">
        <f>IF(OR('Summary Op Stmt (Operators)'!$L$20=0,'Summary Op Stmt (Operators)'!$L$20=""),"",L17/'Summary Op Stmt (Operators)'!$L$20)</f>
        <v/>
      </c>
    </row>
    <row r="18" spans="1:13" x14ac:dyDescent="0.2">
      <c r="A18" s="23" t="s">
        <v>165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2">
      <c r="A19" s="25" t="s">
        <v>166</v>
      </c>
      <c r="B19" s="26"/>
      <c r="C19" s="31" t="str">
        <f>IF(OR('Summary Op Stmt (Operators)'!$B$20=0,'Summary Op Stmt (Operators)'!$B$20=""),"",B19/'Summary Op Stmt (Operators)'!$B$20)</f>
        <v/>
      </c>
      <c r="D19" s="26"/>
      <c r="E19" s="31" t="str">
        <f>IF(OR('Summary Op Stmt (Operators)'!$D$20=0,'Summary Op Stmt (Operators)'!$D$20=""),"",D19/'Summary Op Stmt (Operators)'!$D$20)</f>
        <v/>
      </c>
      <c r="F19" s="26"/>
      <c r="G19" s="31" t="str">
        <f>IF(OR('Summary Op Stmt (Operators)'!$F$20=0,'Summary Op Stmt (Operators)'!$F$20=""),"",F19/'Summary Op Stmt (Operators)'!$F$20)</f>
        <v/>
      </c>
      <c r="H19" s="26"/>
      <c r="I19" s="31" t="str">
        <f>IF(OR('Summary Op Stmt (Operators)'!$H$20=0,'Summary Op Stmt (Operators)'!$H$20=""),"",H19/'Summary Op Stmt (Operators)'!$H$20)</f>
        <v/>
      </c>
      <c r="J19" s="26"/>
      <c r="K19" s="31" t="str">
        <f>IF(OR('Summary Op Stmt (Operators)'!$J$20=0,'Summary Op Stmt (Operators)'!$J$20=""),"",J19/'Summary Op Stmt (Operators)'!$J$20)</f>
        <v/>
      </c>
      <c r="L19" s="26"/>
      <c r="M19" s="31" t="str">
        <f>IF(OR('Summary Op Stmt (Operators)'!$L$20=0,'Summary Op Stmt (Operators)'!$L$20=""),"",L19/'Summary Op Stmt (Operators)'!$L$20)</f>
        <v/>
      </c>
    </row>
    <row r="20" spans="1:13" x14ac:dyDescent="0.2">
      <c r="A20" s="25" t="s">
        <v>167</v>
      </c>
      <c r="B20" s="26"/>
      <c r="C20" s="31" t="str">
        <f>IF(OR('Summary Op Stmt (Operators)'!$B$20=0,'Summary Op Stmt (Operators)'!$B$20=""),"",B20/'Summary Op Stmt (Operators)'!$B$20)</f>
        <v/>
      </c>
      <c r="D20" s="26"/>
      <c r="E20" s="31" t="str">
        <f>IF(OR('Summary Op Stmt (Operators)'!$D$20=0,'Summary Op Stmt (Operators)'!$D$20=""),"",D20/'Summary Op Stmt (Operators)'!$D$20)</f>
        <v/>
      </c>
      <c r="F20" s="26"/>
      <c r="G20" s="31" t="str">
        <f>IF(OR('Summary Op Stmt (Operators)'!$F$20=0,'Summary Op Stmt (Operators)'!$F$20=""),"",F20/'Summary Op Stmt (Operators)'!$F$20)</f>
        <v/>
      </c>
      <c r="H20" s="26"/>
      <c r="I20" s="31" t="str">
        <f>IF(OR('Summary Op Stmt (Operators)'!$H$20=0,'Summary Op Stmt (Operators)'!$H$20=""),"",H20/'Summary Op Stmt (Operators)'!$H$20)</f>
        <v/>
      </c>
      <c r="J20" s="26"/>
      <c r="K20" s="31" t="str">
        <f>IF(OR('Summary Op Stmt (Operators)'!$J$20=0,'Summary Op Stmt (Operators)'!$J$20=""),"",J20/'Summary Op Stmt (Operators)'!$J$20)</f>
        <v/>
      </c>
      <c r="L20" s="26"/>
      <c r="M20" s="31" t="str">
        <f>IF(OR('Summary Op Stmt (Operators)'!$L$20=0,'Summary Op Stmt (Operators)'!$L$20=""),"",L20/'Summary Op Stmt (Operators)'!$L$20)</f>
        <v/>
      </c>
    </row>
    <row r="21" spans="1:13" x14ac:dyDescent="0.2">
      <c r="A21" s="25" t="s">
        <v>168</v>
      </c>
      <c r="B21" s="26"/>
      <c r="C21" s="31" t="str">
        <f>IF(OR('Summary Op Stmt (Operators)'!$B$20=0,'Summary Op Stmt (Operators)'!$B$20=""),"",B21/'Summary Op Stmt (Operators)'!$B$20)</f>
        <v/>
      </c>
      <c r="D21" s="26"/>
      <c r="E21" s="31" t="str">
        <f>IF(OR('Summary Op Stmt (Operators)'!$D$20=0,'Summary Op Stmt (Operators)'!$D$20=""),"",D21/'Summary Op Stmt (Operators)'!$D$20)</f>
        <v/>
      </c>
      <c r="F21" s="26"/>
      <c r="G21" s="31" t="str">
        <f>IF(OR('Summary Op Stmt (Operators)'!$F$20=0,'Summary Op Stmt (Operators)'!$F$20=""),"",F21/'Summary Op Stmt (Operators)'!$F$20)</f>
        <v/>
      </c>
      <c r="H21" s="26"/>
      <c r="I21" s="31" t="str">
        <f>IF(OR('Summary Op Stmt (Operators)'!$H$20=0,'Summary Op Stmt (Operators)'!$H$20=""),"",H21/'Summary Op Stmt (Operators)'!$H$20)</f>
        <v/>
      </c>
      <c r="J21" s="26"/>
      <c r="K21" s="31" t="str">
        <f>IF(OR('Summary Op Stmt (Operators)'!$J$20=0,'Summary Op Stmt (Operators)'!$J$20=""),"",J21/'Summary Op Stmt (Operators)'!$J$20)</f>
        <v/>
      </c>
      <c r="L21" s="26"/>
      <c r="M21" s="31" t="str">
        <f>IF(OR('Summary Op Stmt (Operators)'!$L$20=0,'Summary Op Stmt (Operators)'!$L$20=""),"",L21/'Summary Op Stmt (Operators)'!$L$20)</f>
        <v/>
      </c>
    </row>
    <row r="22" spans="1:13" x14ac:dyDescent="0.2">
      <c r="A22" s="35" t="s">
        <v>169</v>
      </c>
      <c r="B22" s="36">
        <f>B19+B20+B21</f>
        <v>0</v>
      </c>
      <c r="C22" s="37" t="str">
        <f>IF(OR('Summary Op Stmt (Operators)'!$B$20=0,'Summary Op Stmt (Operators)'!$B$20=""),"",B22/'Summary Op Stmt (Operators)'!$B$20)</f>
        <v/>
      </c>
      <c r="D22" s="36">
        <f>D19+D20+D21</f>
        <v>0</v>
      </c>
      <c r="E22" s="37" t="str">
        <f>IF(OR('Summary Op Stmt (Operators)'!$D$20=0,'Summary Op Stmt (Operators)'!$D$20=""),"",D22/'Summary Op Stmt (Operators)'!$D$20)</f>
        <v/>
      </c>
      <c r="F22" s="36">
        <f>F19+F20+F21</f>
        <v>0</v>
      </c>
      <c r="G22" s="37" t="str">
        <f>IF(OR('Summary Op Stmt (Operators)'!$F$20=0,'Summary Op Stmt (Operators)'!$F$20=""),"",F22/'Summary Op Stmt (Operators)'!$F$20)</f>
        <v/>
      </c>
      <c r="H22" s="36">
        <f>H19+H20+H21</f>
        <v>0</v>
      </c>
      <c r="I22" s="37" t="str">
        <f>IF(OR('Summary Op Stmt (Operators)'!$H$20=0,'Summary Op Stmt (Operators)'!$H$20=""),"",H22/'Summary Op Stmt (Operators)'!$H$20)</f>
        <v/>
      </c>
      <c r="J22" s="36">
        <f>J19+J20+J21</f>
        <v>0</v>
      </c>
      <c r="K22" s="37" t="str">
        <f>IF(OR('Summary Op Stmt (Operators)'!$J$20=0,'Summary Op Stmt (Operators)'!$J$20=""),"",J22/'Summary Op Stmt (Operators)'!$J$20)</f>
        <v/>
      </c>
      <c r="L22" s="36">
        <f>L19+L20+L21</f>
        <v>0</v>
      </c>
      <c r="M22" s="37" t="str">
        <f>IF(OR('Summary Op Stmt (Operators)'!$L$20=0,'Summary Op Stmt (Operators)'!$L$20=""),"",L22/'Summary Op Stmt (Operators)'!$L$20)</f>
        <v/>
      </c>
    </row>
    <row r="23" spans="1:13" x14ac:dyDescent="0.2">
      <c r="A23" s="35" t="s">
        <v>170</v>
      </c>
      <c r="B23" s="36">
        <f>B17+B22</f>
        <v>0</v>
      </c>
      <c r="C23" s="37" t="str">
        <f>IF(OR('Summary Op Stmt (Operators)'!$B$20=0,'Summary Op Stmt (Operators)'!$B$20=""),"",B23/'Summary Op Stmt (Operators)'!$B$20)</f>
        <v/>
      </c>
      <c r="D23" s="36">
        <f>D17+D22</f>
        <v>0</v>
      </c>
      <c r="E23" s="37" t="str">
        <f>IF(OR('Summary Op Stmt (Operators)'!$D$20=0,'Summary Op Stmt (Operators)'!$D$20=""),"",D23/'Summary Op Stmt (Operators)'!$D$20)</f>
        <v/>
      </c>
      <c r="F23" s="36">
        <f>F17+F22</f>
        <v>0</v>
      </c>
      <c r="G23" s="37" t="str">
        <f>IF(OR('Summary Op Stmt (Operators)'!$F$20=0,'Summary Op Stmt (Operators)'!$F$20=""),"",F23/'Summary Op Stmt (Operators)'!$F$20)</f>
        <v/>
      </c>
      <c r="H23" s="36">
        <f>H17+H22</f>
        <v>0</v>
      </c>
      <c r="I23" s="37" t="str">
        <f>IF(OR('Summary Op Stmt (Operators)'!$H$20=0,'Summary Op Stmt (Operators)'!$H$20=""),"",H23/'Summary Op Stmt (Operators)'!$H$20)</f>
        <v/>
      </c>
      <c r="J23" s="36">
        <f>J17+J22</f>
        <v>0</v>
      </c>
      <c r="K23" s="37" t="str">
        <f>IF(OR('Summary Op Stmt (Operators)'!$J$20=0,'Summary Op Stmt (Operators)'!$J$20=""),"",J23/'Summary Op Stmt (Operators)'!$J$20)</f>
        <v/>
      </c>
      <c r="L23" s="36">
        <f>L17+L22</f>
        <v>0</v>
      </c>
      <c r="M23" s="37" t="str">
        <f>IF(OR('Summary Op Stmt (Operators)'!$L$20=0,'Summary Op Stmt (Operators)'!$L$20=""),"",L23/'Summary Op Stmt (Operators)'!$L$20)</f>
        <v/>
      </c>
    </row>
    <row r="24" spans="1:13" x14ac:dyDescent="0.2">
      <c r="A24" s="23" t="s">
        <v>171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2">
      <c r="A25" s="25" t="s">
        <v>172</v>
      </c>
      <c r="B25" s="26"/>
      <c r="C25" s="31" t="str">
        <f>IF(OR('Summary Op Stmt (Operators)'!$B$20=0,'Summary Op Stmt (Operators)'!$B$20=""),"",B25/'Summary Op Stmt (Operators)'!$B$20)</f>
        <v/>
      </c>
      <c r="D25" s="26"/>
      <c r="E25" s="31" t="str">
        <f>IF(OR('Summary Op Stmt (Operators)'!$D$20=0,'Summary Op Stmt (Operators)'!$D$20=""),"",D25/'Summary Op Stmt (Operators)'!$D$20)</f>
        <v/>
      </c>
      <c r="F25" s="26"/>
      <c r="G25" s="31" t="str">
        <f>IF(OR('Summary Op Stmt (Operators)'!$F$20=0,'Summary Op Stmt (Operators)'!$F$20=""),"",F25/'Summary Op Stmt (Operators)'!$F$20)</f>
        <v/>
      </c>
      <c r="H25" s="26"/>
      <c r="I25" s="31" t="str">
        <f>IF(OR('Summary Op Stmt (Operators)'!$H$20=0,'Summary Op Stmt (Operators)'!$H$20=""),"",H25/'Summary Op Stmt (Operators)'!$H$20)</f>
        <v/>
      </c>
      <c r="J25" s="26"/>
      <c r="K25" s="31" t="str">
        <f>IF(OR('Summary Op Stmt (Operators)'!$J$20=0,'Summary Op Stmt (Operators)'!$J$20=""),"",J25/'Summary Op Stmt (Operators)'!$J$20)</f>
        <v/>
      </c>
      <c r="L25" s="26"/>
      <c r="M25" s="31" t="str">
        <f>IF(OR('Summary Op Stmt (Operators)'!$L$20=0,'Summary Op Stmt (Operators)'!$L$20=""),"",L25/'Summary Op Stmt (Operators)'!$L$20)</f>
        <v/>
      </c>
    </row>
    <row r="26" spans="1:13" x14ac:dyDescent="0.2">
      <c r="A26" s="25" t="s">
        <v>178</v>
      </c>
      <c r="B26" s="26"/>
      <c r="C26" s="31" t="str">
        <f>IF(OR('Summary Op Stmt (Operators)'!$B$20=0,'Summary Op Stmt (Operators)'!$B$20=""),"",B26/'Summary Op Stmt (Operators)'!$B$20)</f>
        <v/>
      </c>
      <c r="D26" s="26"/>
      <c r="E26" s="31" t="str">
        <f>IF(OR('Summary Op Stmt (Operators)'!$D$20=0,'Summary Op Stmt (Operators)'!$D$20=""),"",D26/'Summary Op Stmt (Operators)'!$D$20)</f>
        <v/>
      </c>
      <c r="F26" s="26"/>
      <c r="G26" s="31" t="str">
        <f>IF(OR('Summary Op Stmt (Operators)'!$F$20=0,'Summary Op Stmt (Operators)'!$F$20=""),"",F26/'Summary Op Stmt (Operators)'!$F$20)</f>
        <v/>
      </c>
      <c r="H26" s="26"/>
      <c r="I26" s="31" t="str">
        <f>IF(OR('Summary Op Stmt (Operators)'!$H$20=0,'Summary Op Stmt (Operators)'!$H$20=""),"",H26/'Summary Op Stmt (Operators)'!$H$20)</f>
        <v/>
      </c>
      <c r="J26" s="26"/>
      <c r="K26" s="31" t="str">
        <f>IF(OR('Summary Op Stmt (Operators)'!$J$20=0,'Summary Op Stmt (Operators)'!$J$20=""),"",J26/'Summary Op Stmt (Operators)'!$J$20)</f>
        <v/>
      </c>
      <c r="L26" s="26"/>
      <c r="M26" s="31" t="str">
        <f>IF(OR('Summary Op Stmt (Operators)'!$L$20=0,'Summary Op Stmt (Operators)'!$L$20=""),"",L26/'Summary Op Stmt (Operators)'!$L$20)</f>
        <v/>
      </c>
    </row>
    <row r="27" spans="1:13" x14ac:dyDescent="0.2">
      <c r="A27" s="25" t="s">
        <v>179</v>
      </c>
      <c r="B27" s="26"/>
      <c r="C27" s="31" t="str">
        <f>IF(OR('Summary Op Stmt (Operators)'!$B$20=0,'Summary Op Stmt (Operators)'!$B$20=""),"",B27/'Summary Op Stmt (Operators)'!$B$20)</f>
        <v/>
      </c>
      <c r="D27" s="26"/>
      <c r="E27" s="31" t="str">
        <f>IF(OR('Summary Op Stmt (Operators)'!$D$20=0,'Summary Op Stmt (Operators)'!$D$20=""),"",D27/'Summary Op Stmt (Operators)'!$D$20)</f>
        <v/>
      </c>
      <c r="F27" s="26"/>
      <c r="G27" s="31" t="str">
        <f>IF(OR('Summary Op Stmt (Operators)'!$F$20=0,'Summary Op Stmt (Operators)'!$F$20=""),"",F27/'Summary Op Stmt (Operators)'!$F$20)</f>
        <v/>
      </c>
      <c r="H27" s="26"/>
      <c r="I27" s="31" t="str">
        <f>IF(OR('Summary Op Stmt (Operators)'!$H$20=0,'Summary Op Stmt (Operators)'!$H$20=""),"",H27/'Summary Op Stmt (Operators)'!$H$20)</f>
        <v/>
      </c>
      <c r="J27" s="26"/>
      <c r="K27" s="31" t="str">
        <f>IF(OR('Summary Op Stmt (Operators)'!$J$20=0,'Summary Op Stmt (Operators)'!$J$20=""),"",J27/'Summary Op Stmt (Operators)'!$J$20)</f>
        <v/>
      </c>
      <c r="L27" s="26"/>
      <c r="M27" s="31" t="str">
        <f>IF(OR('Summary Op Stmt (Operators)'!$L$20=0,'Summary Op Stmt (Operators)'!$L$20=""),"",L27/'Summary Op Stmt (Operators)'!$L$20)</f>
        <v/>
      </c>
    </row>
    <row r="28" spans="1:13" x14ac:dyDescent="0.2">
      <c r="A28" s="25" t="s">
        <v>180</v>
      </c>
      <c r="B28" s="26"/>
      <c r="C28" s="31" t="str">
        <f>IF(OR('Summary Op Stmt (Operators)'!$B$20=0,'Summary Op Stmt (Operators)'!$B$20=""),"",B28/'Summary Op Stmt (Operators)'!$B$20)</f>
        <v/>
      </c>
      <c r="D28" s="26"/>
      <c r="E28" s="31" t="str">
        <f>IF(OR('Summary Op Stmt (Operators)'!$D$20=0,'Summary Op Stmt (Operators)'!$D$20=""),"",D28/'Summary Op Stmt (Operators)'!$D$20)</f>
        <v/>
      </c>
      <c r="F28" s="26"/>
      <c r="G28" s="31" t="str">
        <f>IF(OR('Summary Op Stmt (Operators)'!$F$20=0,'Summary Op Stmt (Operators)'!$F$20=""),"",F28/'Summary Op Stmt (Operators)'!$F$20)</f>
        <v/>
      </c>
      <c r="H28" s="26"/>
      <c r="I28" s="31" t="str">
        <f>IF(OR('Summary Op Stmt (Operators)'!$H$20=0,'Summary Op Stmt (Operators)'!$H$20=""),"",H28/'Summary Op Stmt (Operators)'!$H$20)</f>
        <v/>
      </c>
      <c r="J28" s="26"/>
      <c r="K28" s="31" t="str">
        <f>IF(OR('Summary Op Stmt (Operators)'!$J$20=0,'Summary Op Stmt (Operators)'!$J$20=""),"",J28/'Summary Op Stmt (Operators)'!$J$20)</f>
        <v/>
      </c>
      <c r="L28" s="26"/>
      <c r="M28" s="31" t="str">
        <f>IF(OR('Summary Op Stmt (Operators)'!$L$20=0,'Summary Op Stmt (Operators)'!$L$20=""),"",L28/'Summary Op Stmt (Operators)'!$L$20)</f>
        <v/>
      </c>
    </row>
    <row r="29" spans="1:13" x14ac:dyDescent="0.2">
      <c r="A29" s="25" t="s">
        <v>181</v>
      </c>
      <c r="B29" s="26"/>
      <c r="C29" s="31" t="str">
        <f>IF(OR('Summary Op Stmt (Operators)'!$B$20=0,'Summary Op Stmt (Operators)'!$B$20=""),"",B29/'Summary Op Stmt (Operators)'!$B$20)</f>
        <v/>
      </c>
      <c r="D29" s="26"/>
      <c r="E29" s="31" t="str">
        <f>IF(OR('Summary Op Stmt (Operators)'!$D$20=0,'Summary Op Stmt (Operators)'!$D$20=""),"",D29/'Summary Op Stmt (Operators)'!$D$20)</f>
        <v/>
      </c>
      <c r="F29" s="26"/>
      <c r="G29" s="31" t="str">
        <f>IF(OR('Summary Op Stmt (Operators)'!$F$20=0,'Summary Op Stmt (Operators)'!$F$20=""),"",F29/'Summary Op Stmt (Operators)'!$F$20)</f>
        <v/>
      </c>
      <c r="H29" s="26"/>
      <c r="I29" s="31" t="str">
        <f>IF(OR('Summary Op Stmt (Operators)'!$H$20=0,'Summary Op Stmt (Operators)'!$H$20=""),"",H29/'Summary Op Stmt (Operators)'!$H$20)</f>
        <v/>
      </c>
      <c r="J29" s="26"/>
      <c r="K29" s="31" t="str">
        <f>IF(OR('Summary Op Stmt (Operators)'!$J$20=0,'Summary Op Stmt (Operators)'!$J$20=""),"",J29/'Summary Op Stmt (Operators)'!$J$20)</f>
        <v/>
      </c>
      <c r="L29" s="26"/>
      <c r="M29" s="31" t="str">
        <f>IF(OR('Summary Op Stmt (Operators)'!$L$20=0,'Summary Op Stmt (Operators)'!$L$20=""),"",L29/'Summary Op Stmt (Operators)'!$L$20)</f>
        <v/>
      </c>
    </row>
    <row r="30" spans="1:13" x14ac:dyDescent="0.2">
      <c r="A30" s="25" t="s">
        <v>182</v>
      </c>
      <c r="B30" s="26"/>
      <c r="C30" s="31" t="str">
        <f>IF(OR('Summary Op Stmt (Operators)'!$B$20=0,'Summary Op Stmt (Operators)'!$B$20=""),"",B30/'Summary Op Stmt (Operators)'!$B$20)</f>
        <v/>
      </c>
      <c r="D30" s="26"/>
      <c r="E30" s="31" t="str">
        <f>IF(OR('Summary Op Stmt (Operators)'!$D$20=0,'Summary Op Stmt (Operators)'!$D$20=""),"",D30/'Summary Op Stmt (Operators)'!$D$20)</f>
        <v/>
      </c>
      <c r="F30" s="26"/>
      <c r="G30" s="31" t="str">
        <f>IF(OR('Summary Op Stmt (Operators)'!$F$20=0,'Summary Op Stmt (Operators)'!$F$20=""),"",F30/'Summary Op Stmt (Operators)'!$F$20)</f>
        <v/>
      </c>
      <c r="H30" s="26"/>
      <c r="I30" s="31" t="str">
        <f>IF(OR('Summary Op Stmt (Operators)'!$H$20=0,'Summary Op Stmt (Operators)'!$H$20=""),"",H30/'Summary Op Stmt (Operators)'!$H$20)</f>
        <v/>
      </c>
      <c r="J30" s="26"/>
      <c r="K30" s="31" t="str">
        <f>IF(OR('Summary Op Stmt (Operators)'!$J$20=0,'Summary Op Stmt (Operators)'!$J$20=""),"",J30/'Summary Op Stmt (Operators)'!$J$20)</f>
        <v/>
      </c>
      <c r="L30" s="26"/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183</v>
      </c>
      <c r="B31" s="26"/>
      <c r="C31" s="31" t="str">
        <f>IF(OR('Summary Op Stmt (Operators)'!$B$20=0,'Summary Op Stmt (Operators)'!$B$20=""),"",B31/'Summary Op Stmt (Operators)'!$B$20)</f>
        <v/>
      </c>
      <c r="D31" s="26"/>
      <c r="E31" s="31" t="str">
        <f>IF(OR('Summary Op Stmt (Operators)'!$D$20=0,'Summary Op Stmt (Operators)'!$D$20=""),"",D31/'Summary Op Stmt (Operators)'!$D$20)</f>
        <v/>
      </c>
      <c r="F31" s="26"/>
      <c r="G31" s="31" t="str">
        <f>IF(OR('Summary Op Stmt (Operators)'!$F$20=0,'Summary Op Stmt (Operators)'!$F$20=""),"",F31/'Summary Op Stmt (Operators)'!$F$20)</f>
        <v/>
      </c>
      <c r="H31" s="26"/>
      <c r="I31" s="31" t="str">
        <f>IF(OR('Summary Op Stmt (Operators)'!$H$20=0,'Summary Op Stmt (Operators)'!$H$20=""),"",H31/'Summary Op Stmt (Operators)'!$H$20)</f>
        <v/>
      </c>
      <c r="J31" s="26"/>
      <c r="K31" s="31" t="str">
        <f>IF(OR('Summary Op Stmt (Operators)'!$J$20=0,'Summary Op Stmt (Operators)'!$J$20=""),"",J31/'Summary Op Stmt (Operators)'!$J$20)</f>
        <v/>
      </c>
      <c r="L31" s="26"/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25" t="s">
        <v>184</v>
      </c>
      <c r="B32" s="26"/>
      <c r="C32" s="31" t="str">
        <f>IF(OR('Summary Op Stmt (Operators)'!$B$20=0,'Summary Op Stmt (Operators)'!$B$20=""),"",B32/'Summary Op Stmt (Operators)'!$B$20)</f>
        <v/>
      </c>
      <c r="D32" s="26"/>
      <c r="E32" s="31" t="str">
        <f>IF(OR('Summary Op Stmt (Operators)'!$D$20=0,'Summary Op Stmt (Operators)'!$D$20=""),"",D32/'Summary Op Stmt (Operators)'!$D$20)</f>
        <v/>
      </c>
      <c r="F32" s="26"/>
      <c r="G32" s="31" t="str">
        <f>IF(OR('Summary Op Stmt (Operators)'!$F$20=0,'Summary Op Stmt (Operators)'!$F$20=""),"",F32/'Summary Op Stmt (Operators)'!$F$20)</f>
        <v/>
      </c>
      <c r="H32" s="26"/>
      <c r="I32" s="31" t="str">
        <f>IF(OR('Summary Op Stmt (Operators)'!$H$20=0,'Summary Op Stmt (Operators)'!$H$20=""),"",H32/'Summary Op Stmt (Operators)'!$H$20)</f>
        <v/>
      </c>
      <c r="J32" s="26"/>
      <c r="K32" s="31" t="str">
        <f>IF(OR('Summary Op Stmt (Operators)'!$J$20=0,'Summary Op Stmt (Operators)'!$J$20=""),"",J32/'Summary Op Stmt (Operators)'!$J$20)</f>
        <v/>
      </c>
      <c r="L32" s="26"/>
      <c r="M32" s="31" t="str">
        <f>IF(OR('Summary Op Stmt (Operators)'!$L$20=0,'Summary Op Stmt (Operators)'!$L$20=""),"",L32/'Summary Op Stmt (Operators)'!$L$20)</f>
        <v/>
      </c>
    </row>
    <row r="33" spans="1:13" x14ac:dyDescent="0.2">
      <c r="A33" s="25" t="s">
        <v>188</v>
      </c>
      <c r="B33" s="26"/>
      <c r="C33" s="31" t="str">
        <f>IF(OR('Summary Op Stmt (Operators)'!$B$20=0,'Summary Op Stmt (Operators)'!$B$20=""),"",B33/'Summary Op Stmt (Operators)'!$B$20)</f>
        <v/>
      </c>
      <c r="D33" s="26"/>
      <c r="E33" s="31" t="str">
        <f>IF(OR('Summary Op Stmt (Operators)'!$D$20=0,'Summary Op Stmt (Operators)'!$D$20=""),"",D33/'Summary Op Stmt (Operators)'!$D$20)</f>
        <v/>
      </c>
      <c r="F33" s="26"/>
      <c r="G33" s="31" t="str">
        <f>IF(OR('Summary Op Stmt (Operators)'!$F$20=0,'Summary Op Stmt (Operators)'!$F$20=""),"",F33/'Summary Op Stmt (Operators)'!$F$20)</f>
        <v/>
      </c>
      <c r="H33" s="26"/>
      <c r="I33" s="31" t="str">
        <f>IF(OR('Summary Op Stmt (Operators)'!$H$20=0,'Summary Op Stmt (Operators)'!$H$20=""),"",H33/'Summary Op Stmt (Operators)'!$H$20)</f>
        <v/>
      </c>
      <c r="J33" s="26"/>
      <c r="K33" s="31" t="str">
        <f>IF(OR('Summary Op Stmt (Operators)'!$J$20=0,'Summary Op Stmt (Operators)'!$J$20=""),"",J33/'Summary Op Stmt (Operators)'!$J$20)</f>
        <v/>
      </c>
      <c r="L33" s="26"/>
      <c r="M33" s="31" t="str">
        <f>IF(OR('Summary Op Stmt (Operators)'!$L$20=0,'Summary Op Stmt (Operators)'!$L$20=""),"",L33/'Summary Op Stmt (Operators)'!$L$20)</f>
        <v/>
      </c>
    </row>
    <row r="34" spans="1:13" x14ac:dyDescent="0.2">
      <c r="A34" s="25" t="s">
        <v>464</v>
      </c>
      <c r="B34" s="26"/>
      <c r="C34" s="31" t="str">
        <f>IF(OR('Summary Op Stmt (Operators)'!$B$20=0,'Summary Op Stmt (Operators)'!$B$20=""),"",B34/'Summary Op Stmt (Operators)'!$B$20)</f>
        <v/>
      </c>
      <c r="D34" s="26"/>
      <c r="E34" s="31" t="str">
        <f>IF(OR('Summary Op Stmt (Operators)'!$D$20=0,'Summary Op Stmt (Operators)'!$D$20=""),"",D34/'Summary Op Stmt (Operators)'!$D$20)</f>
        <v/>
      </c>
      <c r="F34" s="26"/>
      <c r="G34" s="31" t="str">
        <f>IF(OR('Summary Op Stmt (Operators)'!$F$20=0,'Summary Op Stmt (Operators)'!$F$20=""),"",F34/'Summary Op Stmt (Operators)'!$F$20)</f>
        <v/>
      </c>
      <c r="H34" s="26"/>
      <c r="I34" s="31" t="str">
        <f>IF(OR('Summary Op Stmt (Operators)'!$H$20=0,'Summary Op Stmt (Operators)'!$H$20=""),"",H34/'Summary Op Stmt (Operators)'!$H$20)</f>
        <v/>
      </c>
      <c r="J34" s="26"/>
      <c r="K34" s="31" t="str">
        <f>IF(OR('Summary Op Stmt (Operators)'!$J$20=0,'Summary Op Stmt (Operators)'!$J$20=""),"",J34/'Summary Op Stmt (Operators)'!$J$20)</f>
        <v/>
      </c>
      <c r="L34" s="26"/>
      <c r="M34" s="31" t="str">
        <f>IF(OR('Summary Op Stmt (Operators)'!$L$20=0,'Summary Op Stmt (Operators)'!$L$20=""),"",L34/'Summary Op Stmt (Operators)'!$L$20)</f>
        <v/>
      </c>
    </row>
    <row r="35" spans="1:13" x14ac:dyDescent="0.2">
      <c r="A35" s="25" t="s">
        <v>189</v>
      </c>
      <c r="B35" s="26"/>
      <c r="C35" s="31" t="str">
        <f>IF(OR('Summary Op Stmt (Operators)'!$B$20=0,'Summary Op Stmt (Operators)'!$B$20=""),"",B35/'Summary Op Stmt (Operators)'!$B$20)</f>
        <v/>
      </c>
      <c r="D35" s="26"/>
      <c r="E35" s="31" t="str">
        <f>IF(OR('Summary Op Stmt (Operators)'!$D$20=0,'Summary Op Stmt (Operators)'!$D$20=""),"",D35/'Summary Op Stmt (Operators)'!$D$20)</f>
        <v/>
      </c>
      <c r="F35" s="26"/>
      <c r="G35" s="31" t="str">
        <f>IF(OR('Summary Op Stmt (Operators)'!$F$20=0,'Summary Op Stmt (Operators)'!$F$20=""),"",F35/'Summary Op Stmt (Operators)'!$F$20)</f>
        <v/>
      </c>
      <c r="H35" s="26"/>
      <c r="I35" s="31" t="str">
        <f>IF(OR('Summary Op Stmt (Operators)'!$H$20=0,'Summary Op Stmt (Operators)'!$H$20=""),"",H35/'Summary Op Stmt (Operators)'!$H$20)</f>
        <v/>
      </c>
      <c r="J35" s="26"/>
      <c r="K35" s="31" t="str">
        <f>IF(OR('Summary Op Stmt (Operators)'!$J$20=0,'Summary Op Stmt (Operators)'!$J$20=""),"",J35/'Summary Op Stmt (Operators)'!$J$20)</f>
        <v/>
      </c>
      <c r="L35" s="26"/>
      <c r="M35" s="31" t="str">
        <f>IF(OR('Summary Op Stmt (Operators)'!$L$20=0,'Summary Op Stmt (Operators)'!$L$20=""),"",L35/'Summary Op Stmt (Operators)'!$L$20)</f>
        <v/>
      </c>
    </row>
    <row r="36" spans="1:13" x14ac:dyDescent="0.2">
      <c r="A36" s="25" t="s">
        <v>191</v>
      </c>
      <c r="B36" s="26"/>
      <c r="C36" s="31" t="str">
        <f>IF(OR('Summary Op Stmt (Operators)'!$B$20=0,'Summary Op Stmt (Operators)'!$B$20=""),"",B36/'Summary Op Stmt (Operators)'!$B$20)</f>
        <v/>
      </c>
      <c r="D36" s="26"/>
      <c r="E36" s="31" t="str">
        <f>IF(OR('Summary Op Stmt (Operators)'!$D$20=0,'Summary Op Stmt (Operators)'!$D$20=""),"",D36/'Summary Op Stmt (Operators)'!$D$20)</f>
        <v/>
      </c>
      <c r="F36" s="26"/>
      <c r="G36" s="31" t="str">
        <f>IF(OR('Summary Op Stmt (Operators)'!$F$20=0,'Summary Op Stmt (Operators)'!$F$20=""),"",F36/'Summary Op Stmt (Operators)'!$F$20)</f>
        <v/>
      </c>
      <c r="H36" s="26"/>
      <c r="I36" s="31" t="str">
        <f>IF(OR('Summary Op Stmt (Operators)'!$H$20=0,'Summary Op Stmt (Operators)'!$H$20=""),"",H36/'Summary Op Stmt (Operators)'!$H$20)</f>
        <v/>
      </c>
      <c r="J36" s="26"/>
      <c r="K36" s="31" t="str">
        <f>IF(OR('Summary Op Stmt (Operators)'!$J$20=0,'Summary Op Stmt (Operators)'!$J$20=""),"",J36/'Summary Op Stmt (Operators)'!$J$20)</f>
        <v/>
      </c>
      <c r="L36" s="26"/>
      <c r="M36" s="31" t="str">
        <f>IF(OR('Summary Op Stmt (Operators)'!$L$20=0,'Summary Op Stmt (Operators)'!$L$20=""),"",L36/'Summary Op Stmt (Operators)'!$L$20)</f>
        <v/>
      </c>
    </row>
    <row r="37" spans="1:13" x14ac:dyDescent="0.2">
      <c r="A37" s="25" t="s">
        <v>192</v>
      </c>
      <c r="B37" s="26"/>
      <c r="C37" s="31" t="str">
        <f>IF(OR('Summary Op Stmt (Operators)'!$B$20=0,'Summary Op Stmt (Operators)'!$B$20=""),"",B37/'Summary Op Stmt (Operators)'!$B$20)</f>
        <v/>
      </c>
      <c r="D37" s="26"/>
      <c r="E37" s="31" t="str">
        <f>IF(OR('Summary Op Stmt (Operators)'!$D$20=0,'Summary Op Stmt (Operators)'!$D$20=""),"",D37/'Summary Op Stmt (Operators)'!$D$20)</f>
        <v/>
      </c>
      <c r="F37" s="26"/>
      <c r="G37" s="31" t="str">
        <f>IF(OR('Summary Op Stmt (Operators)'!$F$20=0,'Summary Op Stmt (Operators)'!$F$20=""),"",F37/'Summary Op Stmt (Operators)'!$F$20)</f>
        <v/>
      </c>
      <c r="H37" s="26"/>
      <c r="I37" s="31" t="str">
        <f>IF(OR('Summary Op Stmt (Operators)'!$H$20=0,'Summary Op Stmt (Operators)'!$H$20=""),"",H37/'Summary Op Stmt (Operators)'!$H$20)</f>
        <v/>
      </c>
      <c r="J37" s="26"/>
      <c r="K37" s="31" t="str">
        <f>IF(OR('Summary Op Stmt (Operators)'!$J$20=0,'Summary Op Stmt (Operators)'!$J$20=""),"",J37/'Summary Op Stmt (Operators)'!$J$20)</f>
        <v/>
      </c>
      <c r="L37" s="26"/>
      <c r="M37" s="31" t="str">
        <f>IF(OR('Summary Op Stmt (Operators)'!$L$20=0,'Summary Op Stmt (Operators)'!$L$20=""),"",L37/'Summary Op Stmt (Operators)'!$L$20)</f>
        <v/>
      </c>
    </row>
    <row r="38" spans="1:13" x14ac:dyDescent="0.2">
      <c r="A38" s="25" t="s">
        <v>194</v>
      </c>
      <c r="B38" s="26"/>
      <c r="C38" s="31" t="str">
        <f>IF(OR('Summary Op Stmt (Operators)'!$B$20=0,'Summary Op Stmt (Operators)'!$B$20=""),"",B38/'Summary Op Stmt (Operators)'!$B$20)</f>
        <v/>
      </c>
      <c r="D38" s="26"/>
      <c r="E38" s="31" t="str">
        <f>IF(OR('Summary Op Stmt (Operators)'!$D$20=0,'Summary Op Stmt (Operators)'!$D$20=""),"",D38/'Summary Op Stmt (Operators)'!$D$20)</f>
        <v/>
      </c>
      <c r="F38" s="26"/>
      <c r="G38" s="31" t="str">
        <f>IF(OR('Summary Op Stmt (Operators)'!$F$20=0,'Summary Op Stmt (Operators)'!$F$20=""),"",F38/'Summary Op Stmt (Operators)'!$F$20)</f>
        <v/>
      </c>
      <c r="H38" s="26"/>
      <c r="I38" s="31" t="str">
        <f>IF(OR('Summary Op Stmt (Operators)'!$H$20=0,'Summary Op Stmt (Operators)'!$H$20=""),"",H38/'Summary Op Stmt (Operators)'!$H$20)</f>
        <v/>
      </c>
      <c r="J38" s="26"/>
      <c r="K38" s="31" t="str">
        <f>IF(OR('Summary Op Stmt (Operators)'!$J$20=0,'Summary Op Stmt (Operators)'!$J$20=""),"",J38/'Summary Op Stmt (Operators)'!$J$20)</f>
        <v/>
      </c>
      <c r="L38" s="26"/>
      <c r="M38" s="31" t="str">
        <f>IF(OR('Summary Op Stmt (Operators)'!$L$20=0,'Summary Op Stmt (Operators)'!$L$20=""),"",L38/'Summary Op Stmt (Operators)'!$L$20)</f>
        <v/>
      </c>
    </row>
    <row r="39" spans="1:13" x14ac:dyDescent="0.2">
      <c r="A39" s="25" t="s">
        <v>197</v>
      </c>
      <c r="B39" s="26"/>
      <c r="C39" s="31" t="str">
        <f>IF(OR('Summary Op Stmt (Operators)'!$B$20=0,'Summary Op Stmt (Operators)'!$B$20=""),"",B39/'Summary Op Stmt (Operators)'!$B$20)</f>
        <v/>
      </c>
      <c r="D39" s="26"/>
      <c r="E39" s="31" t="str">
        <f>IF(OR('Summary Op Stmt (Operators)'!$D$20=0,'Summary Op Stmt (Operators)'!$D$20=""),"",D39/'Summary Op Stmt (Operators)'!$D$20)</f>
        <v/>
      </c>
      <c r="F39" s="26"/>
      <c r="G39" s="31" t="str">
        <f>IF(OR('Summary Op Stmt (Operators)'!$F$20=0,'Summary Op Stmt (Operators)'!$F$20=""),"",F39/'Summary Op Stmt (Operators)'!$F$20)</f>
        <v/>
      </c>
      <c r="H39" s="26"/>
      <c r="I39" s="31" t="str">
        <f>IF(OR('Summary Op Stmt (Operators)'!$H$20=0,'Summary Op Stmt (Operators)'!$H$20=""),"",H39/'Summary Op Stmt (Operators)'!$H$20)</f>
        <v/>
      </c>
      <c r="J39" s="26"/>
      <c r="K39" s="31" t="str">
        <f>IF(OR('Summary Op Stmt (Operators)'!$J$20=0,'Summary Op Stmt (Operators)'!$J$20=""),"",J39/'Summary Op Stmt (Operators)'!$J$20)</f>
        <v/>
      </c>
      <c r="L39" s="26"/>
      <c r="M39" s="31" t="str">
        <f>IF(OR('Summary Op Stmt (Operators)'!$L$20=0,'Summary Op Stmt (Operators)'!$L$20=""),"",L39/'Summary Op Stmt (Operators)'!$L$20)</f>
        <v/>
      </c>
    </row>
    <row r="40" spans="1:13" x14ac:dyDescent="0.2">
      <c r="A40" s="25" t="s">
        <v>198</v>
      </c>
      <c r="B40" s="26"/>
      <c r="C40" s="31" t="str">
        <f>IF(OR('Summary Op Stmt (Operators)'!$B$20=0,'Summary Op Stmt (Operators)'!$B$20=""),"",B40/'Summary Op Stmt (Operators)'!$B$20)</f>
        <v/>
      </c>
      <c r="D40" s="26"/>
      <c r="E40" s="31" t="str">
        <f>IF(OR('Summary Op Stmt (Operators)'!$D$20=0,'Summary Op Stmt (Operators)'!$D$20=""),"",D40/'Summary Op Stmt (Operators)'!$D$20)</f>
        <v/>
      </c>
      <c r="F40" s="26"/>
      <c r="G40" s="31" t="str">
        <f>IF(OR('Summary Op Stmt (Operators)'!$F$20=0,'Summary Op Stmt (Operators)'!$F$20=""),"",F40/'Summary Op Stmt (Operators)'!$F$20)</f>
        <v/>
      </c>
      <c r="H40" s="26"/>
      <c r="I40" s="31" t="str">
        <f>IF(OR('Summary Op Stmt (Operators)'!$H$20=0,'Summary Op Stmt (Operators)'!$H$20=""),"",H40/'Summary Op Stmt (Operators)'!$H$20)</f>
        <v/>
      </c>
      <c r="J40" s="26"/>
      <c r="K40" s="31" t="str">
        <f>IF(OR('Summary Op Stmt (Operators)'!$J$20=0,'Summary Op Stmt (Operators)'!$J$20=""),"",J40/'Summary Op Stmt (Operators)'!$J$20)</f>
        <v/>
      </c>
      <c r="L40" s="26"/>
      <c r="M40" s="31" t="str">
        <f>IF(OR('Summary Op Stmt (Operators)'!$L$20=0,'Summary Op Stmt (Operators)'!$L$20=""),"",L40/'Summary Op Stmt (Operators)'!$L$20)</f>
        <v/>
      </c>
    </row>
    <row r="41" spans="1:13" x14ac:dyDescent="0.2">
      <c r="A41" s="25" t="s">
        <v>199</v>
      </c>
      <c r="B41" s="26"/>
      <c r="C41" s="31" t="str">
        <f>IF(OR('Summary Op Stmt (Operators)'!$B$20=0,'Summary Op Stmt (Operators)'!$B$20=""),"",B41/'Summary Op Stmt (Operators)'!$B$20)</f>
        <v/>
      </c>
      <c r="D41" s="26"/>
      <c r="E41" s="31" t="str">
        <f>IF(OR('Summary Op Stmt (Operators)'!$D$20=0,'Summary Op Stmt (Operators)'!$D$20=""),"",D41/'Summary Op Stmt (Operators)'!$D$20)</f>
        <v/>
      </c>
      <c r="F41" s="26"/>
      <c r="G41" s="31" t="str">
        <f>IF(OR('Summary Op Stmt (Operators)'!$F$20=0,'Summary Op Stmt (Operators)'!$F$20=""),"",F41/'Summary Op Stmt (Operators)'!$F$20)</f>
        <v/>
      </c>
      <c r="H41" s="26"/>
      <c r="I41" s="31" t="str">
        <f>IF(OR('Summary Op Stmt (Operators)'!$H$20=0,'Summary Op Stmt (Operators)'!$H$20=""),"",H41/'Summary Op Stmt (Operators)'!$H$20)</f>
        <v/>
      </c>
      <c r="J41" s="26"/>
      <c r="K41" s="31" t="str">
        <f>IF(OR('Summary Op Stmt (Operators)'!$J$20=0,'Summary Op Stmt (Operators)'!$J$20=""),"",J41/'Summary Op Stmt (Operators)'!$J$20)</f>
        <v/>
      </c>
      <c r="L41" s="26"/>
      <c r="M41" s="31" t="str">
        <f>IF(OR('Summary Op Stmt (Operators)'!$L$20=0,'Summary Op Stmt (Operators)'!$L$20=""),"",L41/'Summary Op Stmt (Operators)'!$L$20)</f>
        <v/>
      </c>
    </row>
    <row r="42" spans="1:13" x14ac:dyDescent="0.2">
      <c r="A42" s="25" t="s">
        <v>200</v>
      </c>
      <c r="B42" s="26"/>
      <c r="C42" s="31" t="str">
        <f>IF(OR('Summary Op Stmt (Operators)'!$B$20=0,'Summary Op Stmt (Operators)'!$B$20=""),"",B42/'Summary Op Stmt (Operators)'!$B$20)</f>
        <v/>
      </c>
      <c r="D42" s="26"/>
      <c r="E42" s="31" t="str">
        <f>IF(OR('Summary Op Stmt (Operators)'!$D$20=0,'Summary Op Stmt (Operators)'!$D$20=""),"",D42/'Summary Op Stmt (Operators)'!$D$20)</f>
        <v/>
      </c>
      <c r="F42" s="26"/>
      <c r="G42" s="31" t="str">
        <f>IF(OR('Summary Op Stmt (Operators)'!$F$20=0,'Summary Op Stmt (Operators)'!$F$20=""),"",F42/'Summary Op Stmt (Operators)'!$F$20)</f>
        <v/>
      </c>
      <c r="H42" s="26"/>
      <c r="I42" s="31" t="str">
        <f>IF(OR('Summary Op Stmt (Operators)'!$H$20=0,'Summary Op Stmt (Operators)'!$H$20=""),"",H42/'Summary Op Stmt (Operators)'!$H$20)</f>
        <v/>
      </c>
      <c r="J42" s="26"/>
      <c r="K42" s="31" t="str">
        <f>IF(OR('Summary Op Stmt (Operators)'!$J$20=0,'Summary Op Stmt (Operators)'!$J$20=""),"",J42/'Summary Op Stmt (Operators)'!$J$20)</f>
        <v/>
      </c>
      <c r="L42" s="26"/>
      <c r="M42" s="31" t="str">
        <f>IF(OR('Summary Op Stmt (Operators)'!$L$20=0,'Summary Op Stmt (Operators)'!$L$20=""),"",L42/'Summary Op Stmt (Operators)'!$L$20)</f>
        <v/>
      </c>
    </row>
    <row r="43" spans="1:13" x14ac:dyDescent="0.2">
      <c r="A43" s="25" t="s">
        <v>201</v>
      </c>
      <c r="B43" s="26"/>
      <c r="C43" s="31" t="str">
        <f>IF(OR('Summary Op Stmt (Operators)'!$B$20=0,'Summary Op Stmt (Operators)'!$B$20=""),"",B43/'Summary Op Stmt (Operators)'!$B$20)</f>
        <v/>
      </c>
      <c r="D43" s="26"/>
      <c r="E43" s="31" t="str">
        <f>IF(OR('Summary Op Stmt (Operators)'!$D$20=0,'Summary Op Stmt (Operators)'!$D$20=""),"",D43/'Summary Op Stmt (Operators)'!$D$20)</f>
        <v/>
      </c>
      <c r="F43" s="26"/>
      <c r="G43" s="31" t="str">
        <f>IF(OR('Summary Op Stmt (Operators)'!$F$20=0,'Summary Op Stmt (Operators)'!$F$20=""),"",F43/'Summary Op Stmt (Operators)'!$F$20)</f>
        <v/>
      </c>
      <c r="H43" s="26"/>
      <c r="I43" s="31" t="str">
        <f>IF(OR('Summary Op Stmt (Operators)'!$H$20=0,'Summary Op Stmt (Operators)'!$H$20=""),"",H43/'Summary Op Stmt (Operators)'!$H$20)</f>
        <v/>
      </c>
      <c r="J43" s="26"/>
      <c r="K43" s="31" t="str">
        <f>IF(OR('Summary Op Stmt (Operators)'!$J$20=0,'Summary Op Stmt (Operators)'!$J$20=""),"",J43/'Summary Op Stmt (Operators)'!$J$20)</f>
        <v/>
      </c>
      <c r="L43" s="26"/>
      <c r="M43" s="31" t="str">
        <f>IF(OR('Summary Op Stmt (Operators)'!$L$20=0,'Summary Op Stmt (Operators)'!$L$20=""),"",L43/'Summary Op Stmt (Operators)'!$L$20)</f>
        <v/>
      </c>
    </row>
    <row r="44" spans="1:13" x14ac:dyDescent="0.2">
      <c r="A44" s="35" t="s">
        <v>202</v>
      </c>
      <c r="B44" s="36">
        <f>B25+B26+B27+B28+B29+B30+B31+B32+B33+B34+B35+B36+B37+B38+B39+B40+B41+B42+B43</f>
        <v>0</v>
      </c>
      <c r="C44" s="37" t="str">
        <f>IF(OR('Summary Op Stmt (Operators)'!$B$20=0,'Summary Op Stmt (Operators)'!$B$20=""),"",B44/'Summary Op Stmt (Operators)'!$B$20)</f>
        <v/>
      </c>
      <c r="D44" s="36">
        <f>D25+D26+D27+D28+D29+D30+D31+D32+D33+D34+D35+D36+D37+D38+D39+D40+D41+D42+D43</f>
        <v>0</v>
      </c>
      <c r="E44" s="37" t="str">
        <f>IF(OR('Summary Op Stmt (Operators)'!$D$20=0,'Summary Op Stmt (Operators)'!$D$20=""),"",D44/'Summary Op Stmt (Operators)'!$D$20)</f>
        <v/>
      </c>
      <c r="F44" s="36">
        <f>F25+F26+F27+F28+F29+F30+F31+F32+F33+F34+F35+F36+F37+F38+F39+F40+F41+F42+F43</f>
        <v>0</v>
      </c>
      <c r="G44" s="37" t="str">
        <f>IF(OR('Summary Op Stmt (Operators)'!$F$20=0,'Summary Op Stmt (Operators)'!$F$20=""),"",F44/'Summary Op Stmt (Operators)'!$F$20)</f>
        <v/>
      </c>
      <c r="H44" s="36">
        <f>H25+H26+H27+H28+H29+H30+H31+H32+H33+H34+H35+H36+H37+H38+H39+H40+H41+H42+H43</f>
        <v>0</v>
      </c>
      <c r="I44" s="37" t="str">
        <f>IF(OR('Summary Op Stmt (Operators)'!$H$20=0,'Summary Op Stmt (Operators)'!$H$20=""),"",H44/'Summary Op Stmt (Operators)'!$H$20)</f>
        <v/>
      </c>
      <c r="J44" s="36">
        <f>J25+J26+J27+J28+J29+J30+J31+J32+J33+J34+J35+J36+J37+J38+J39+J40+J41+J42+J43</f>
        <v>0</v>
      </c>
      <c r="K44" s="37" t="str">
        <f>IF(OR('Summary Op Stmt (Operators)'!$J$20=0,'Summary Op Stmt (Operators)'!$J$20=""),"",J44/'Summary Op Stmt (Operators)'!$J$20)</f>
        <v/>
      </c>
      <c r="L44" s="36">
        <f>L25+L26+L27+L28+L29+L30+L31+L32+L33+L34+L35+L36+L37+L38+L39+L40+L41+L42+L43</f>
        <v>0</v>
      </c>
      <c r="M44" s="37" t="str">
        <f>IF(OR('Summary Op Stmt (Operators)'!$L$20=0,'Summary Op Stmt (Operators)'!$L$20=""),"",L44/'Summary Op Stmt (Operators)'!$L$20)</f>
        <v/>
      </c>
    </row>
    <row r="45" spans="1:13" x14ac:dyDescent="0.2">
      <c r="A45" s="32" t="s">
        <v>203</v>
      </c>
      <c r="B45" s="33">
        <f>B23+B44</f>
        <v>0</v>
      </c>
      <c r="C45" s="34" t="str">
        <f>IF(OR('Summary Op Stmt (Operators)'!$B$20=0,'Summary Op Stmt (Operators)'!$B$20=""),"",B45/'Summary Op Stmt (Operators)'!$B$20)</f>
        <v/>
      </c>
      <c r="D45" s="33">
        <f>D23+D44</f>
        <v>0</v>
      </c>
      <c r="E45" s="34" t="str">
        <f>IF(OR('Summary Op Stmt (Operators)'!$D$20=0,'Summary Op Stmt (Operators)'!$D$20=""),"",D45/'Summary Op Stmt (Operators)'!$D$20)</f>
        <v/>
      </c>
      <c r="F45" s="33">
        <f>F23+F44</f>
        <v>0</v>
      </c>
      <c r="G45" s="34" t="str">
        <f>IF(OR('Summary Op Stmt (Operators)'!$F$20=0,'Summary Op Stmt (Operators)'!$F$20=""),"",F45/'Summary Op Stmt (Operators)'!$F$20)</f>
        <v/>
      </c>
      <c r="H45" s="33">
        <f>H23+H44</f>
        <v>0</v>
      </c>
      <c r="I45" s="34" t="str">
        <f>IF(OR('Summary Op Stmt (Operators)'!$H$20=0,'Summary Op Stmt (Operators)'!$H$20=""),"",H45/'Summary Op Stmt (Operators)'!$H$20)</f>
        <v/>
      </c>
      <c r="J45" s="33">
        <f>J23+J44</f>
        <v>0</v>
      </c>
      <c r="K45" s="34" t="str">
        <f>IF(OR('Summary Op Stmt (Operators)'!$J$20=0,'Summary Op Stmt (Operators)'!$J$20=""),"",J45/'Summary Op Stmt (Operators)'!$J$20)</f>
        <v/>
      </c>
      <c r="L45" s="33">
        <f>L23+L44</f>
        <v>0</v>
      </c>
      <c r="M45" s="34" t="str">
        <f>IF(OR('Summary Op Stmt (Operators)'!$L$20=0,'Summary Op Stmt (Operators)'!$L$20=""),"",L45/'Summary Op Stmt (Operators)'!$L$20)</f>
        <v/>
      </c>
    </row>
    <row r="46" spans="1:13" x14ac:dyDescent="0.2">
      <c r="A46" s="23" t="s">
        <v>465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3" x14ac:dyDescent="0.2">
      <c r="A47" s="25" t="s">
        <v>466</v>
      </c>
      <c r="B47" s="26"/>
      <c r="C47" s="31" t="str">
        <f>IF(OR('Summary Op Stmt (Operators)'!$B$20=0,'Summary Op Stmt (Operators)'!$B$20=""),"",B47/'Summary Op Stmt (Operators)'!$B$20)</f>
        <v/>
      </c>
      <c r="D47" s="26"/>
      <c r="E47" s="31" t="str">
        <f>IF(OR('Summary Op Stmt (Operators)'!$D$20=0,'Summary Op Stmt (Operators)'!$D$20=""),"",D47/'Summary Op Stmt (Operators)'!$D$20)</f>
        <v/>
      </c>
      <c r="F47" s="26"/>
      <c r="G47" s="31" t="str">
        <f>IF(OR('Summary Op Stmt (Operators)'!$F$20=0,'Summary Op Stmt (Operators)'!$F$20=""),"",F47/'Summary Op Stmt (Operators)'!$F$20)</f>
        <v/>
      </c>
      <c r="H47" s="26"/>
      <c r="I47" s="31" t="str">
        <f>IF(OR('Summary Op Stmt (Operators)'!$H$20=0,'Summary Op Stmt (Operators)'!$H$20=""),"",H47/'Summary Op Stmt (Operators)'!$H$20)</f>
        <v/>
      </c>
      <c r="J47" s="26"/>
      <c r="K47" s="31" t="str">
        <f>IF(OR('Summary Op Stmt (Operators)'!$J$20=0,'Summary Op Stmt (Operators)'!$J$20=""),"",J47/'Summary Op Stmt (Operators)'!$J$20)</f>
        <v/>
      </c>
      <c r="L47" s="26"/>
      <c r="M47" s="31" t="str">
        <f>IF(OR('Summary Op Stmt (Operators)'!$L$20=0,'Summary Op Stmt (Operators)'!$L$20=""),"",L47/'Summary Op Stmt (Operators)'!$L$20)</f>
        <v/>
      </c>
    </row>
    <row r="48" spans="1:13" x14ac:dyDescent="0.2">
      <c r="A48" s="25" t="s">
        <v>467</v>
      </c>
      <c r="B48" s="26"/>
      <c r="C48" s="31" t="str">
        <f>IF(OR('Summary Op Stmt (Operators)'!$B$20=0,'Summary Op Stmt (Operators)'!$B$20=""),"",B48/'Summary Op Stmt (Operators)'!$B$20)</f>
        <v/>
      </c>
      <c r="D48" s="26"/>
      <c r="E48" s="31" t="str">
        <f>IF(OR('Summary Op Stmt (Operators)'!$D$20=0,'Summary Op Stmt (Operators)'!$D$20=""),"",D48/'Summary Op Stmt (Operators)'!$D$20)</f>
        <v/>
      </c>
      <c r="F48" s="26"/>
      <c r="G48" s="31" t="str">
        <f>IF(OR('Summary Op Stmt (Operators)'!$F$20=0,'Summary Op Stmt (Operators)'!$F$20=""),"",F48/'Summary Op Stmt (Operators)'!$F$20)</f>
        <v/>
      </c>
      <c r="H48" s="26"/>
      <c r="I48" s="31" t="str">
        <f>IF(OR('Summary Op Stmt (Operators)'!$H$20=0,'Summary Op Stmt (Operators)'!$H$20=""),"",H48/'Summary Op Stmt (Operators)'!$H$20)</f>
        <v/>
      </c>
      <c r="J48" s="26"/>
      <c r="K48" s="31" t="str">
        <f>IF(OR('Summary Op Stmt (Operators)'!$J$20=0,'Summary Op Stmt (Operators)'!$J$20=""),"",J48/'Summary Op Stmt (Operators)'!$J$20)</f>
        <v/>
      </c>
      <c r="L48" s="26"/>
      <c r="M48" s="31" t="str">
        <f>IF(OR('Summary Op Stmt (Operators)'!$L$20=0,'Summary Op Stmt (Operators)'!$L$20=""),"",L48/'Summary Op Stmt (Operators)'!$L$20)</f>
        <v/>
      </c>
    </row>
    <row r="49" spans="1:13" x14ac:dyDescent="0.2">
      <c r="A49" s="32" t="s">
        <v>468</v>
      </c>
      <c r="B49" s="33">
        <f>B45-B47-B48</f>
        <v>0</v>
      </c>
      <c r="C49" s="34" t="str">
        <f>IF(OR('Summary Op Stmt (Operators)'!$B$20=0,'Summary Op Stmt (Operators)'!$B$20=""),"",B49/'Summary Op Stmt (Operators)'!$B$20)</f>
        <v/>
      </c>
      <c r="D49" s="33">
        <f>D45-D47-D48</f>
        <v>0</v>
      </c>
      <c r="E49" s="34" t="str">
        <f>IF(OR('Summary Op Stmt (Operators)'!$D$20=0,'Summary Op Stmt (Operators)'!$D$20=""),"",D49/'Summary Op Stmt (Operators)'!$D$20)</f>
        <v/>
      </c>
      <c r="F49" s="33">
        <f>F45-F47-F48</f>
        <v>0</v>
      </c>
      <c r="G49" s="34" t="str">
        <f>IF(OR('Summary Op Stmt (Operators)'!$F$20=0,'Summary Op Stmt (Operators)'!$F$20=""),"",F49/'Summary Op Stmt (Operators)'!$F$20)</f>
        <v/>
      </c>
      <c r="H49" s="33">
        <f>H45-H47-H48</f>
        <v>0</v>
      </c>
      <c r="I49" s="34" t="str">
        <f>IF(OR('Summary Op Stmt (Operators)'!$H$20=0,'Summary Op Stmt (Operators)'!$H$20=""),"",H49/'Summary Op Stmt (Operators)'!$H$20)</f>
        <v/>
      </c>
      <c r="J49" s="33">
        <f>J45-J47-J48</f>
        <v>0</v>
      </c>
      <c r="K49" s="34" t="str">
        <f>IF(OR('Summary Op Stmt (Operators)'!$J$20=0,'Summary Op Stmt (Operators)'!$J$20=""),"",J49/'Summary Op Stmt (Operators)'!$J$20)</f>
        <v/>
      </c>
      <c r="L49" s="33">
        <f>L45-L47-L48</f>
        <v>0</v>
      </c>
      <c r="M49" s="34" t="str">
        <f>IF(OR('Summary Op Stmt (Operators)'!$L$20=0,'Summary Op Stmt (Operators)'!$L$20=""),"",L49/'Summary Op Stmt (Operators)'!$L$20)</f>
        <v/>
      </c>
    </row>
    <row r="50" spans="1:13" x14ac:dyDescent="0.2">
      <c r="A50" s="23" t="s">
        <v>469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spans="1:13" x14ac:dyDescent="0.2">
      <c r="A51" s="25" t="s">
        <v>470</v>
      </c>
      <c r="B51" s="26"/>
      <c r="C51" s="31" t="str">
        <f>IF(OR('Summary Op Stmt (Operators)'!$B$20=0,'Summary Op Stmt (Operators)'!$B$20=""),"",B51/'Summary Op Stmt (Operators)'!$B$20)</f>
        <v/>
      </c>
      <c r="D51" s="26"/>
      <c r="E51" s="31" t="str">
        <f>IF(OR('Summary Op Stmt (Operators)'!$D$20=0,'Summary Op Stmt (Operators)'!$D$20=""),"",D51/'Summary Op Stmt (Operators)'!$D$20)</f>
        <v/>
      </c>
      <c r="F51" s="26"/>
      <c r="G51" s="31" t="str">
        <f>IF(OR('Summary Op Stmt (Operators)'!$F$20=0,'Summary Op Stmt (Operators)'!$F$20=""),"",F51/'Summary Op Stmt (Operators)'!$F$20)</f>
        <v/>
      </c>
      <c r="H51" s="26"/>
      <c r="I51" s="31" t="str">
        <f>IF(OR('Summary Op Stmt (Operators)'!$H$20=0,'Summary Op Stmt (Operators)'!$H$20=""),"",H51/'Summary Op Stmt (Operators)'!$H$20)</f>
        <v/>
      </c>
      <c r="J51" s="26"/>
      <c r="K51" s="31" t="str">
        <f>IF(OR('Summary Op Stmt (Operators)'!$J$20=0,'Summary Op Stmt (Operators)'!$J$20=""),"",J51/'Summary Op Stmt (Operators)'!$J$20)</f>
        <v/>
      </c>
      <c r="L51" s="26"/>
      <c r="M51" s="31" t="str">
        <f>IF(OR('Summary Op Stmt (Operators)'!$L$20=0,'Summary Op Stmt (Operators)'!$L$20=""),"",L51/'Summary Op Stmt (Operators)'!$L$20)</f>
        <v/>
      </c>
    </row>
    <row r="52" spans="1:13" x14ac:dyDescent="0.2">
      <c r="A52" s="25" t="s">
        <v>471</v>
      </c>
      <c r="B52" s="26"/>
      <c r="C52" s="31" t="str">
        <f>IF(OR('Summary Op Stmt (Operators)'!$B$20=0,'Summary Op Stmt (Operators)'!$B$20=""),"",B52/'Summary Op Stmt (Operators)'!$B$20)</f>
        <v/>
      </c>
      <c r="D52" s="26"/>
      <c r="E52" s="31" t="str">
        <f>IF(OR('Summary Op Stmt (Operators)'!$D$20=0,'Summary Op Stmt (Operators)'!$D$20=""),"",D52/'Summary Op Stmt (Operators)'!$D$20)</f>
        <v/>
      </c>
      <c r="F52" s="26"/>
      <c r="G52" s="31" t="str">
        <f>IF(OR('Summary Op Stmt (Operators)'!$F$20=0,'Summary Op Stmt (Operators)'!$F$20=""),"",F52/'Summary Op Stmt (Operators)'!$F$20)</f>
        <v/>
      </c>
      <c r="H52" s="26"/>
      <c r="I52" s="31" t="str">
        <f>IF(OR('Summary Op Stmt (Operators)'!$H$20=0,'Summary Op Stmt (Operators)'!$H$20=""),"",H52/'Summary Op Stmt (Operators)'!$H$20)</f>
        <v/>
      </c>
      <c r="J52" s="26"/>
      <c r="K52" s="31" t="str">
        <f>IF(OR('Summary Op Stmt (Operators)'!$J$20=0,'Summary Op Stmt (Operators)'!$J$20=""),"",J52/'Summary Op Stmt (Operators)'!$J$20)</f>
        <v/>
      </c>
      <c r="L52" s="26"/>
      <c r="M52" s="31" t="str">
        <f>IF(OR('Summary Op Stmt (Operators)'!$L$20=0,'Summary Op Stmt (Operators)'!$L$20=""),"",L52/'Summary Op Stmt (Operators)'!$L$20)</f>
        <v/>
      </c>
    </row>
    <row r="53" spans="1:13" x14ac:dyDescent="0.2">
      <c r="A53" s="25" t="s">
        <v>472</v>
      </c>
      <c r="B53" s="26"/>
      <c r="C53" s="31" t="str">
        <f>IF(OR('Summary Op Stmt (Operators)'!$B$20=0,'Summary Op Stmt (Operators)'!$B$20=""),"",B53/'Summary Op Stmt (Operators)'!$B$20)</f>
        <v/>
      </c>
      <c r="D53" s="26"/>
      <c r="E53" s="31" t="str">
        <f>IF(OR('Summary Op Stmt (Operators)'!$D$20=0,'Summary Op Stmt (Operators)'!$D$20=""),"",D53/'Summary Op Stmt (Operators)'!$D$20)</f>
        <v/>
      </c>
      <c r="F53" s="26"/>
      <c r="G53" s="31" t="str">
        <f>IF(OR('Summary Op Stmt (Operators)'!$F$20=0,'Summary Op Stmt (Operators)'!$F$20=""),"",F53/'Summary Op Stmt (Operators)'!$F$20)</f>
        <v/>
      </c>
      <c r="H53" s="26"/>
      <c r="I53" s="31" t="str">
        <f>IF(OR('Summary Op Stmt (Operators)'!$H$20=0,'Summary Op Stmt (Operators)'!$H$20=""),"",H53/'Summary Op Stmt (Operators)'!$H$20)</f>
        <v/>
      </c>
      <c r="J53" s="26"/>
      <c r="K53" s="31" t="str">
        <f>IF(OR('Summary Op Stmt (Operators)'!$J$20=0,'Summary Op Stmt (Operators)'!$J$20=""),"",J53/'Summary Op Stmt (Operators)'!$J$20)</f>
        <v/>
      </c>
      <c r="L53" s="26"/>
      <c r="M53" s="31" t="str">
        <f>IF(OR('Summary Op Stmt (Operators)'!$L$20=0,'Summary Op Stmt (Operators)'!$L$20=""),"",L53/'Summary Op Stmt (Operators)'!$L$20)</f>
        <v/>
      </c>
    </row>
    <row r="54" spans="1:13" x14ac:dyDescent="0.2">
      <c r="A54" s="25" t="s">
        <v>473</v>
      </c>
      <c r="B54" s="26"/>
      <c r="C54" s="31" t="str">
        <f>IF(OR('Summary Op Stmt (Operators)'!$B$20=0,'Summary Op Stmt (Operators)'!$B$20=""),"",B54/'Summary Op Stmt (Operators)'!$B$20)</f>
        <v/>
      </c>
      <c r="D54" s="26"/>
      <c r="E54" s="31" t="str">
        <f>IF(OR('Summary Op Stmt (Operators)'!$D$20=0,'Summary Op Stmt (Operators)'!$D$20=""),"",D54/'Summary Op Stmt (Operators)'!$D$20)</f>
        <v/>
      </c>
      <c r="F54" s="26"/>
      <c r="G54" s="31" t="str">
        <f>IF(OR('Summary Op Stmt (Operators)'!$F$20=0,'Summary Op Stmt (Operators)'!$F$20=""),"",F54/'Summary Op Stmt (Operators)'!$F$20)</f>
        <v/>
      </c>
      <c r="H54" s="26"/>
      <c r="I54" s="31" t="str">
        <f>IF(OR('Summary Op Stmt (Operators)'!$H$20=0,'Summary Op Stmt (Operators)'!$H$20=""),"",H54/'Summary Op Stmt (Operators)'!$H$20)</f>
        <v/>
      </c>
      <c r="J54" s="26"/>
      <c r="K54" s="31" t="str">
        <f>IF(OR('Summary Op Stmt (Operators)'!$J$20=0,'Summary Op Stmt (Operators)'!$J$20=""),"",J54/'Summary Op Stmt (Operators)'!$J$20)</f>
        <v/>
      </c>
      <c r="L54" s="26"/>
      <c r="M54" s="31" t="str">
        <f>IF(OR('Summary Op Stmt (Operators)'!$L$20=0,'Summary Op Stmt (Operators)'!$L$20=""),"",L54/'Summary Op Stmt (Operators)'!$L$20)</f>
        <v/>
      </c>
    </row>
    <row r="55" spans="1:13" x14ac:dyDescent="0.2">
      <c r="A55" s="25" t="s">
        <v>474</v>
      </c>
      <c r="B55" s="26"/>
      <c r="C55" s="31" t="str">
        <f>IF(OR('Summary Op Stmt (Operators)'!$B$20=0,'Summary Op Stmt (Operators)'!$B$20=""),"",B55/'Summary Op Stmt (Operators)'!$B$20)</f>
        <v/>
      </c>
      <c r="D55" s="26"/>
      <c r="E55" s="31" t="str">
        <f>IF(OR('Summary Op Stmt (Operators)'!$D$20=0,'Summary Op Stmt (Operators)'!$D$20=""),"",D55/'Summary Op Stmt (Operators)'!$D$20)</f>
        <v/>
      </c>
      <c r="F55" s="26"/>
      <c r="G55" s="31" t="str">
        <f>IF(OR('Summary Op Stmt (Operators)'!$F$20=0,'Summary Op Stmt (Operators)'!$F$20=""),"",F55/'Summary Op Stmt (Operators)'!$F$20)</f>
        <v/>
      </c>
      <c r="H55" s="26"/>
      <c r="I55" s="31" t="str">
        <f>IF(OR('Summary Op Stmt (Operators)'!$H$20=0,'Summary Op Stmt (Operators)'!$H$20=""),"",H55/'Summary Op Stmt (Operators)'!$H$20)</f>
        <v/>
      </c>
      <c r="J55" s="26"/>
      <c r="K55" s="31" t="str">
        <f>IF(OR('Summary Op Stmt (Operators)'!$J$20=0,'Summary Op Stmt (Operators)'!$J$20=""),"",J55/'Summary Op Stmt (Operators)'!$J$20)</f>
        <v/>
      </c>
      <c r="L55" s="26"/>
      <c r="M55" s="31" t="str">
        <f>IF(OR('Summary Op Stmt (Operators)'!$L$20=0,'Summary Op Stmt (Operators)'!$L$20=""),"",L55/'Summary Op Stmt (Operators)'!$L$20)</f>
        <v/>
      </c>
    </row>
    <row r="56" spans="1:13" x14ac:dyDescent="0.2">
      <c r="A56" s="35" t="s">
        <v>475</v>
      </c>
      <c r="B56" s="36">
        <f>B51+B52+B53+B54+B55</f>
        <v>0</v>
      </c>
      <c r="C56" s="37" t="str">
        <f>IF(OR('Summary Op Stmt (Operators)'!$B$20=0,'Summary Op Stmt (Operators)'!$B$20=""),"",B56/'Summary Op Stmt (Operators)'!$B$20)</f>
        <v/>
      </c>
      <c r="D56" s="36">
        <f>D51+D52+D53+D54+D55</f>
        <v>0</v>
      </c>
      <c r="E56" s="37" t="str">
        <f>IF(OR('Summary Op Stmt (Operators)'!$D$20=0,'Summary Op Stmt (Operators)'!$D$20=""),"",D56/'Summary Op Stmt (Operators)'!$D$20)</f>
        <v/>
      </c>
      <c r="F56" s="36">
        <f>F51+F52+F53+F54+F55</f>
        <v>0</v>
      </c>
      <c r="G56" s="37" t="str">
        <f>IF(OR('Summary Op Stmt (Operators)'!$F$20=0,'Summary Op Stmt (Operators)'!$F$20=""),"",F56/'Summary Op Stmt (Operators)'!$F$20)</f>
        <v/>
      </c>
      <c r="H56" s="36">
        <f>H51+H52+H53+H54+H55</f>
        <v>0</v>
      </c>
      <c r="I56" s="37" t="str">
        <f>IF(OR('Summary Op Stmt (Operators)'!$H$20=0,'Summary Op Stmt (Operators)'!$H$20=""),"",H56/'Summary Op Stmt (Operators)'!$H$20)</f>
        <v/>
      </c>
      <c r="J56" s="36">
        <f>J51+J52+J53+J54+J55</f>
        <v>0</v>
      </c>
      <c r="K56" s="37" t="str">
        <f>IF(OR('Summary Op Stmt (Operators)'!$J$20=0,'Summary Op Stmt (Operators)'!$J$20=""),"",J56/'Summary Op Stmt (Operators)'!$J$20)</f>
        <v/>
      </c>
      <c r="L56" s="36">
        <f>L51+L52+L53+L54+L55</f>
        <v>0</v>
      </c>
      <c r="M56" s="37" t="str">
        <f>IF(OR('Summary Op Stmt (Operators)'!$L$20=0,'Summary Op Stmt (Operators)'!$L$20=""),"",L56/'Summary Op Stmt (Operators)'!$L$20)</f>
        <v/>
      </c>
    </row>
    <row r="57" spans="1:13" x14ac:dyDescent="0.2">
      <c r="A57" s="38" t="s">
        <v>476</v>
      </c>
      <c r="B57" s="39">
        <f>B56-B49</f>
        <v>0</v>
      </c>
      <c r="C57" s="40" t="str">
        <f>IF(OR('Summary Op Stmt (Operators)'!$B$20=0,'Summary Op Stmt (Operators)'!$B$20=""),"",B57/'Summary Op Stmt (Operators)'!$B$20)</f>
        <v/>
      </c>
      <c r="D57" s="39">
        <f>D56-D49</f>
        <v>0</v>
      </c>
      <c r="E57" s="40" t="str">
        <f>IF(OR('Summary Op Stmt (Operators)'!$D$20=0,'Summary Op Stmt (Operators)'!$D$20=""),"",D57/'Summary Op Stmt (Operators)'!$D$20)</f>
        <v/>
      </c>
      <c r="F57" s="39">
        <f>F56-F49</f>
        <v>0</v>
      </c>
      <c r="G57" s="40" t="str">
        <f>IF(OR('Summary Op Stmt (Operators)'!$F$20=0,'Summary Op Stmt (Operators)'!$F$20=""),"",F57/'Summary Op Stmt (Operators)'!$F$20)</f>
        <v/>
      </c>
      <c r="H57" s="39">
        <f>H56-H49</f>
        <v>0</v>
      </c>
      <c r="I57" s="40" t="str">
        <f>IF(OR('Summary Op Stmt (Operators)'!$H$20=0,'Summary Op Stmt (Operators)'!$H$20=""),"",H57/'Summary Op Stmt (Operators)'!$H$20)</f>
        <v/>
      </c>
      <c r="J57" s="39">
        <f>J56-J49</f>
        <v>0</v>
      </c>
      <c r="K57" s="40" t="str">
        <f>IF(OR('Summary Op Stmt (Operators)'!$J$20=0,'Summary Op Stmt (Operators)'!$J$20=""),"",J57/'Summary Op Stmt (Operators)'!$J$20)</f>
        <v/>
      </c>
      <c r="L57" s="39">
        <f>L56-L49</f>
        <v>0</v>
      </c>
      <c r="M57" s="40" t="str">
        <f>IF(OR('Summary Op Stmt (Operators)'!$L$20=0,'Summary Op Stmt (Operators)'!$L$20=""),"",L57/'Summary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F3864"/>
  </sheetPr>
  <dimension ref="A1:M66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477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463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148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478</v>
      </c>
      <c r="B8" s="26"/>
      <c r="C8" s="31" t="str">
        <f>IF(OR('Summary Op Stmt (Operators)'!$B$20=0,'Summary Op Stmt (Operators)'!$B$20=""),"",B8/'Summary Op Stmt (Operators)'!$B$20)</f>
        <v/>
      </c>
      <c r="D8" s="26"/>
      <c r="E8" s="31" t="str">
        <f>IF(OR('Summary Op Stmt (Operators)'!$D$20=0,'Summary Op Stmt (Operators)'!$D$20=""),"",D8/'Summary Op Stmt (Operators)'!$D$20)</f>
        <v/>
      </c>
      <c r="F8" s="26"/>
      <c r="G8" s="31" t="str">
        <f>IF(OR('Summary Op Stmt (Operators)'!$F$20=0,'Summary Op Stmt (Operators)'!$F$20=""),"",F8/'Summary Op Stmt (Operators)'!$F$20)</f>
        <v/>
      </c>
      <c r="H8" s="26"/>
      <c r="I8" s="31" t="str">
        <f>IF(OR('Summary Op Stmt (Operators)'!$H$20=0,'Summary Op Stmt (Operators)'!$H$20=""),"",H8/'Summary Op Stmt (Operators)'!$H$20)</f>
        <v/>
      </c>
      <c r="J8" s="26"/>
      <c r="K8" s="31" t="str">
        <f>IF(OR('Summary Op Stmt (Operators)'!$J$20=0,'Summary Op Stmt (Operators)'!$J$20=""),"",J8/'Summary Op Stmt (Operators)'!$J$20)</f>
        <v/>
      </c>
      <c r="L8" s="26"/>
      <c r="M8" s="31" t="str">
        <f>IF(OR('Summary Op Stmt (Operators)'!$L$20=0,'Summary Op Stmt (Operators)'!$L$20=""),"",L8/'Summary Op Stmt (Operators)'!$L$20)</f>
        <v/>
      </c>
    </row>
    <row r="9" spans="1:13" x14ac:dyDescent="0.2">
      <c r="A9" s="23" t="s">
        <v>149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">
      <c r="A10" s="23" t="s">
        <v>150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">
      <c r="A11" s="23" t="s">
        <v>151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x14ac:dyDescent="0.2">
      <c r="A12" s="25" t="s">
        <v>152</v>
      </c>
      <c r="B12" s="26"/>
      <c r="D12" s="26"/>
      <c r="F12" s="26"/>
      <c r="H12" s="26"/>
      <c r="J12" s="26"/>
      <c r="L12" s="26"/>
    </row>
    <row r="13" spans="1:13" x14ac:dyDescent="0.2">
      <c r="A13" s="23" t="s">
        <v>153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x14ac:dyDescent="0.2">
      <c r="A14" s="25" t="s">
        <v>243</v>
      </c>
      <c r="B14" s="26"/>
      <c r="D14" s="26"/>
      <c r="F14" s="26"/>
      <c r="H14" s="26"/>
      <c r="J14" s="26"/>
      <c r="L14" s="26"/>
    </row>
    <row r="15" spans="1:13" x14ac:dyDescent="0.2">
      <c r="A15" s="25" t="s">
        <v>242</v>
      </c>
      <c r="B15" s="26"/>
      <c r="D15" s="26"/>
      <c r="F15" s="26"/>
      <c r="H15" s="26"/>
      <c r="J15" s="26"/>
      <c r="L15" s="26"/>
    </row>
    <row r="16" spans="1:13" x14ac:dyDescent="0.2">
      <c r="A16" s="35" t="s">
        <v>160</v>
      </c>
      <c r="B16" s="36">
        <f>B12+B14+B15</f>
        <v>0</v>
      </c>
      <c r="C16" s="41"/>
      <c r="D16" s="36">
        <f>D12+D14+D15</f>
        <v>0</v>
      </c>
      <c r="E16" s="41"/>
      <c r="F16" s="36">
        <f>F12+F14+F15</f>
        <v>0</v>
      </c>
      <c r="G16" s="41"/>
      <c r="H16" s="36">
        <f>H12+H14+H15</f>
        <v>0</v>
      </c>
      <c r="I16" s="41"/>
      <c r="J16" s="36">
        <f>J12+J14+J15</f>
        <v>0</v>
      </c>
      <c r="K16" s="41"/>
      <c r="L16" s="36">
        <f>L12+L14+L15</f>
        <v>0</v>
      </c>
      <c r="M16" s="41"/>
    </row>
    <row r="17" spans="1:13" x14ac:dyDescent="0.2">
      <c r="A17" s="25" t="s">
        <v>161</v>
      </c>
      <c r="B17" s="26"/>
      <c r="D17" s="26"/>
      <c r="F17" s="26"/>
      <c r="H17" s="26"/>
      <c r="J17" s="26"/>
      <c r="L17" s="26"/>
    </row>
    <row r="18" spans="1:13" x14ac:dyDescent="0.2">
      <c r="A18" s="25" t="s">
        <v>162</v>
      </c>
      <c r="B18" s="26"/>
      <c r="D18" s="26"/>
      <c r="F18" s="26"/>
      <c r="H18" s="26"/>
      <c r="J18" s="26"/>
      <c r="L18" s="26"/>
    </row>
    <row r="19" spans="1:13" x14ac:dyDescent="0.2">
      <c r="A19" s="25" t="s">
        <v>163</v>
      </c>
      <c r="B19" s="26"/>
      <c r="D19" s="26"/>
      <c r="F19" s="26"/>
      <c r="H19" s="26"/>
      <c r="J19" s="26"/>
      <c r="L19" s="26"/>
    </row>
    <row r="20" spans="1:13" x14ac:dyDescent="0.2">
      <c r="A20" s="35" t="s">
        <v>164</v>
      </c>
      <c r="B20" s="36">
        <f>B16+B17+B18+B19</f>
        <v>0</v>
      </c>
      <c r="C20" s="37" t="str">
        <f>IF(OR('Summary Op Stmt (Operators)'!$B$20=0,'Summary Op Stmt (Operators)'!$B$20=""),"",B20/'Summary Op Stmt (Operators)'!$B$20)</f>
        <v/>
      </c>
      <c r="D20" s="36">
        <f>D16+D17+D18+D19</f>
        <v>0</v>
      </c>
      <c r="E20" s="37" t="str">
        <f>IF(OR('Summary Op Stmt (Operators)'!$D$20=0,'Summary Op Stmt (Operators)'!$D$20=""),"",D20/'Summary Op Stmt (Operators)'!$D$20)</f>
        <v/>
      </c>
      <c r="F20" s="36">
        <f>F16+F17+F18+F19</f>
        <v>0</v>
      </c>
      <c r="G20" s="37" t="str">
        <f>IF(OR('Summary Op Stmt (Operators)'!$F$20=0,'Summary Op Stmt (Operators)'!$F$20=""),"",F20/'Summary Op Stmt (Operators)'!$F$20)</f>
        <v/>
      </c>
      <c r="H20" s="36">
        <f>H16+H17+H18+H19</f>
        <v>0</v>
      </c>
      <c r="I20" s="37" t="str">
        <f>IF(OR('Summary Op Stmt (Operators)'!$H$20=0,'Summary Op Stmt (Operators)'!$H$20=""),"",H20/'Summary Op Stmt (Operators)'!$H$20)</f>
        <v/>
      </c>
      <c r="J20" s="36">
        <f>J16+J17+J18+J19</f>
        <v>0</v>
      </c>
      <c r="K20" s="37" t="str">
        <f>IF(OR('Summary Op Stmt (Operators)'!$J$20=0,'Summary Op Stmt (Operators)'!$J$20=""),"",J20/'Summary Op Stmt (Operators)'!$J$20)</f>
        <v/>
      </c>
      <c r="L20" s="36">
        <f>L16+L17+L18+L19</f>
        <v>0</v>
      </c>
      <c r="M20" s="37" t="str">
        <f>IF(OR('Summary Op Stmt (Operators)'!$L$20=0,'Summary Op Stmt (Operators)'!$L$20=""),"",L20/'Summary Op Stmt (Operators)'!$L$20)</f>
        <v/>
      </c>
    </row>
    <row r="21" spans="1:13" x14ac:dyDescent="0.2">
      <c r="A21" s="23" t="s">
        <v>165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2">
      <c r="A22" s="25" t="s">
        <v>166</v>
      </c>
      <c r="B22" s="26"/>
      <c r="C22" s="31" t="str">
        <f>IF(OR('Summary Op Stmt (Operators)'!$B$20=0,'Summary Op Stmt (Operators)'!$B$20=""),"",B22/'Summary Op Stmt (Operators)'!$B$20)</f>
        <v/>
      </c>
      <c r="D22" s="26"/>
      <c r="E22" s="31" t="str">
        <f>IF(OR('Summary Op Stmt (Operators)'!$D$20=0,'Summary Op Stmt (Operators)'!$D$20=""),"",D22/'Summary Op Stmt (Operators)'!$D$20)</f>
        <v/>
      </c>
      <c r="F22" s="26"/>
      <c r="G22" s="31" t="str">
        <f>IF(OR('Summary Op Stmt (Operators)'!$F$20=0,'Summary Op Stmt (Operators)'!$F$20=""),"",F22/'Summary Op Stmt (Operators)'!$F$20)</f>
        <v/>
      </c>
      <c r="H22" s="26"/>
      <c r="I22" s="31" t="str">
        <f>IF(OR('Summary Op Stmt (Operators)'!$H$20=0,'Summary Op Stmt (Operators)'!$H$20=""),"",H22/'Summary Op Stmt (Operators)'!$H$20)</f>
        <v/>
      </c>
      <c r="J22" s="26"/>
      <c r="K22" s="31" t="str">
        <f>IF(OR('Summary Op Stmt (Operators)'!$J$20=0,'Summary Op Stmt (Operators)'!$J$20=""),"",J22/'Summary Op Stmt (Operators)'!$J$20)</f>
        <v/>
      </c>
      <c r="L22" s="26"/>
      <c r="M22" s="31" t="str">
        <f>IF(OR('Summary Op Stmt (Operators)'!$L$20=0,'Summary Op Stmt (Operators)'!$L$20=""),"",L22/'Summary Op Stmt (Operators)'!$L$20)</f>
        <v/>
      </c>
    </row>
    <row r="23" spans="1:13" x14ac:dyDescent="0.2">
      <c r="A23" s="25" t="s">
        <v>167</v>
      </c>
      <c r="B23" s="26"/>
      <c r="C23" s="31" t="str">
        <f>IF(OR('Summary Op Stmt (Operators)'!$B$20=0,'Summary Op Stmt (Operators)'!$B$20=""),"",B23/'Summary Op Stmt (Operators)'!$B$20)</f>
        <v/>
      </c>
      <c r="D23" s="26"/>
      <c r="E23" s="31" t="str">
        <f>IF(OR('Summary Op Stmt (Operators)'!$D$20=0,'Summary Op Stmt (Operators)'!$D$20=""),"",D23/'Summary Op Stmt (Operators)'!$D$20)</f>
        <v/>
      </c>
      <c r="F23" s="26"/>
      <c r="G23" s="31" t="str">
        <f>IF(OR('Summary Op Stmt (Operators)'!$F$20=0,'Summary Op Stmt (Operators)'!$F$20=""),"",F23/'Summary Op Stmt (Operators)'!$F$20)</f>
        <v/>
      </c>
      <c r="H23" s="26"/>
      <c r="I23" s="31" t="str">
        <f>IF(OR('Summary Op Stmt (Operators)'!$H$20=0,'Summary Op Stmt (Operators)'!$H$20=""),"",H23/'Summary Op Stmt (Operators)'!$H$20)</f>
        <v/>
      </c>
      <c r="J23" s="26"/>
      <c r="K23" s="31" t="str">
        <f>IF(OR('Summary Op Stmt (Operators)'!$J$20=0,'Summary Op Stmt (Operators)'!$J$20=""),"",J23/'Summary Op Stmt (Operators)'!$J$20)</f>
        <v/>
      </c>
      <c r="L23" s="26"/>
      <c r="M23" s="31" t="str">
        <f>IF(OR('Summary Op Stmt (Operators)'!$L$20=0,'Summary Op Stmt (Operators)'!$L$20=""),"",L23/'Summary Op Stmt (Operators)'!$L$20)</f>
        <v/>
      </c>
    </row>
    <row r="24" spans="1:13" x14ac:dyDescent="0.2">
      <c r="A24" s="25" t="s">
        <v>168</v>
      </c>
      <c r="B24" s="26"/>
      <c r="C24" s="31" t="str">
        <f>IF(OR('Summary Op Stmt (Operators)'!$B$20=0,'Summary Op Stmt (Operators)'!$B$20=""),"",B24/'Summary Op Stmt (Operators)'!$B$20)</f>
        <v/>
      </c>
      <c r="D24" s="26"/>
      <c r="E24" s="31" t="str">
        <f>IF(OR('Summary Op Stmt (Operators)'!$D$20=0,'Summary Op Stmt (Operators)'!$D$20=""),"",D24/'Summary Op Stmt (Operators)'!$D$20)</f>
        <v/>
      </c>
      <c r="F24" s="26"/>
      <c r="G24" s="31" t="str">
        <f>IF(OR('Summary Op Stmt (Operators)'!$F$20=0,'Summary Op Stmt (Operators)'!$F$20=""),"",F24/'Summary Op Stmt (Operators)'!$F$20)</f>
        <v/>
      </c>
      <c r="H24" s="26"/>
      <c r="I24" s="31" t="str">
        <f>IF(OR('Summary Op Stmt (Operators)'!$H$20=0,'Summary Op Stmt (Operators)'!$H$20=""),"",H24/'Summary Op Stmt (Operators)'!$H$20)</f>
        <v/>
      </c>
      <c r="J24" s="26"/>
      <c r="K24" s="31" t="str">
        <f>IF(OR('Summary Op Stmt (Operators)'!$J$20=0,'Summary Op Stmt (Operators)'!$J$20=""),"",J24/'Summary Op Stmt (Operators)'!$J$20)</f>
        <v/>
      </c>
      <c r="L24" s="26"/>
      <c r="M24" s="31" t="str">
        <f>IF(OR('Summary Op Stmt (Operators)'!$L$20=0,'Summary Op Stmt (Operators)'!$L$20=""),"",L24/'Summary Op Stmt (Operators)'!$L$20)</f>
        <v/>
      </c>
    </row>
    <row r="25" spans="1:13" x14ac:dyDescent="0.2">
      <c r="A25" s="35" t="s">
        <v>169</v>
      </c>
      <c r="B25" s="36">
        <f>B22+B23+B24</f>
        <v>0</v>
      </c>
      <c r="C25" s="37" t="str">
        <f>IF(OR('Summary Op Stmt (Operators)'!$B$20=0,'Summary Op Stmt (Operators)'!$B$20=""),"",B25/'Summary Op Stmt (Operators)'!$B$20)</f>
        <v/>
      </c>
      <c r="D25" s="36">
        <f>D22+D23+D24</f>
        <v>0</v>
      </c>
      <c r="E25" s="37" t="str">
        <f>IF(OR('Summary Op Stmt (Operators)'!$D$20=0,'Summary Op Stmt (Operators)'!$D$20=""),"",D25/'Summary Op Stmt (Operators)'!$D$20)</f>
        <v/>
      </c>
      <c r="F25" s="36">
        <f>F22+F23+F24</f>
        <v>0</v>
      </c>
      <c r="G25" s="37" t="str">
        <f>IF(OR('Summary Op Stmt (Operators)'!$F$20=0,'Summary Op Stmt (Operators)'!$F$20=""),"",F25/'Summary Op Stmt (Operators)'!$F$20)</f>
        <v/>
      </c>
      <c r="H25" s="36">
        <f>H22+H23+H24</f>
        <v>0</v>
      </c>
      <c r="I25" s="37" t="str">
        <f>IF(OR('Summary Op Stmt (Operators)'!$H$20=0,'Summary Op Stmt (Operators)'!$H$20=""),"",H25/'Summary Op Stmt (Operators)'!$H$20)</f>
        <v/>
      </c>
      <c r="J25" s="36">
        <f>J22+J23+J24</f>
        <v>0</v>
      </c>
      <c r="K25" s="37" t="str">
        <f>IF(OR('Summary Op Stmt (Operators)'!$J$20=0,'Summary Op Stmt (Operators)'!$J$20=""),"",J25/'Summary Op Stmt (Operators)'!$J$20)</f>
        <v/>
      </c>
      <c r="L25" s="36">
        <f>L22+L23+L24</f>
        <v>0</v>
      </c>
      <c r="M25" s="37" t="str">
        <f>IF(OR('Summary Op Stmt (Operators)'!$L$20=0,'Summary Op Stmt (Operators)'!$L$20=""),"",L25/'Summary Op Stmt (Operators)'!$L$20)</f>
        <v/>
      </c>
    </row>
    <row r="26" spans="1:13" x14ac:dyDescent="0.2">
      <c r="A26" s="35" t="s">
        <v>170</v>
      </c>
      <c r="B26" s="36">
        <f>B20+B25</f>
        <v>0</v>
      </c>
      <c r="C26" s="37" t="str">
        <f>IF(OR('Summary Op Stmt (Operators)'!$B$20=0,'Summary Op Stmt (Operators)'!$B$20=""),"",B26/'Summary Op Stmt (Operators)'!$B$20)</f>
        <v/>
      </c>
      <c r="D26" s="36">
        <f>D20+D25</f>
        <v>0</v>
      </c>
      <c r="E26" s="37" t="str">
        <f>IF(OR('Summary Op Stmt (Operators)'!$D$20=0,'Summary Op Stmt (Operators)'!$D$20=""),"",D26/'Summary Op Stmt (Operators)'!$D$20)</f>
        <v/>
      </c>
      <c r="F26" s="36">
        <f>F20+F25</f>
        <v>0</v>
      </c>
      <c r="G26" s="37" t="str">
        <f>IF(OR('Summary Op Stmt (Operators)'!$F$20=0,'Summary Op Stmt (Operators)'!$F$20=""),"",F26/'Summary Op Stmt (Operators)'!$F$20)</f>
        <v/>
      </c>
      <c r="H26" s="36">
        <f>H20+H25</f>
        <v>0</v>
      </c>
      <c r="I26" s="37" t="str">
        <f>IF(OR('Summary Op Stmt (Operators)'!$H$20=0,'Summary Op Stmt (Operators)'!$H$20=""),"",H26/'Summary Op Stmt (Operators)'!$H$20)</f>
        <v/>
      </c>
      <c r="J26" s="36">
        <f>J20+J25</f>
        <v>0</v>
      </c>
      <c r="K26" s="37" t="str">
        <f>IF(OR('Summary Op Stmt (Operators)'!$J$20=0,'Summary Op Stmt (Operators)'!$J$20=""),"",J26/'Summary Op Stmt (Operators)'!$J$20)</f>
        <v/>
      </c>
      <c r="L26" s="36">
        <f>L20+L25</f>
        <v>0</v>
      </c>
      <c r="M26" s="37" t="str">
        <f>IF(OR('Summary Op Stmt (Operators)'!$L$20=0,'Summary Op Stmt (Operators)'!$L$20=""),"",L26/'Summary Op Stmt (Operators)'!$L$20)</f>
        <v/>
      </c>
    </row>
    <row r="27" spans="1:13" x14ac:dyDescent="0.2">
      <c r="A27" s="23" t="s">
        <v>171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2">
      <c r="A28" s="25" t="s">
        <v>247</v>
      </c>
      <c r="B28" s="26"/>
      <c r="C28" s="31" t="str">
        <f>IF(OR('Summary Op Stmt (Operators)'!$B$20=0,'Summary Op Stmt (Operators)'!$B$20=""),"",B28/'Summary Op Stmt (Operators)'!$B$20)</f>
        <v/>
      </c>
      <c r="D28" s="26"/>
      <c r="E28" s="31" t="str">
        <f>IF(OR('Summary Op Stmt (Operators)'!$D$20=0,'Summary Op Stmt (Operators)'!$D$20=""),"",D28/'Summary Op Stmt (Operators)'!$D$20)</f>
        <v/>
      </c>
      <c r="F28" s="26"/>
      <c r="G28" s="31" t="str">
        <f>IF(OR('Summary Op Stmt (Operators)'!$F$20=0,'Summary Op Stmt (Operators)'!$F$20=""),"",F28/'Summary Op Stmt (Operators)'!$F$20)</f>
        <v/>
      </c>
      <c r="H28" s="26"/>
      <c r="I28" s="31" t="str">
        <f>IF(OR('Summary Op Stmt (Operators)'!$H$20=0,'Summary Op Stmt (Operators)'!$H$20=""),"",H28/'Summary Op Stmt (Operators)'!$H$20)</f>
        <v/>
      </c>
      <c r="J28" s="26"/>
      <c r="K28" s="31" t="str">
        <f>IF(OR('Summary Op Stmt (Operators)'!$J$20=0,'Summary Op Stmt (Operators)'!$J$20=""),"",J28/'Summary Op Stmt (Operators)'!$J$20)</f>
        <v/>
      </c>
      <c r="L28" s="26"/>
      <c r="M28" s="31" t="str">
        <f>IF(OR('Summary Op Stmt (Operators)'!$L$20=0,'Summary Op Stmt (Operators)'!$L$20=""),"",L28/'Summary Op Stmt (Operators)'!$L$20)</f>
        <v/>
      </c>
    </row>
    <row r="29" spans="1:13" x14ac:dyDescent="0.2">
      <c r="A29" s="25" t="s">
        <v>172</v>
      </c>
      <c r="B29" s="26"/>
      <c r="C29" s="31" t="str">
        <f>IF(OR('Summary Op Stmt (Operators)'!$B$20=0,'Summary Op Stmt (Operators)'!$B$20=""),"",B29/'Summary Op Stmt (Operators)'!$B$20)</f>
        <v/>
      </c>
      <c r="D29" s="26"/>
      <c r="E29" s="31" t="str">
        <f>IF(OR('Summary Op Stmt (Operators)'!$D$20=0,'Summary Op Stmt (Operators)'!$D$20=""),"",D29/'Summary Op Stmt (Operators)'!$D$20)</f>
        <v/>
      </c>
      <c r="F29" s="26"/>
      <c r="G29" s="31" t="str">
        <f>IF(OR('Summary Op Stmt (Operators)'!$F$20=0,'Summary Op Stmt (Operators)'!$F$20=""),"",F29/'Summary Op Stmt (Operators)'!$F$20)</f>
        <v/>
      </c>
      <c r="H29" s="26"/>
      <c r="I29" s="31" t="str">
        <f>IF(OR('Summary Op Stmt (Operators)'!$H$20=0,'Summary Op Stmt (Operators)'!$H$20=""),"",H29/'Summary Op Stmt (Operators)'!$H$20)</f>
        <v/>
      </c>
      <c r="J29" s="26"/>
      <c r="K29" s="31" t="str">
        <f>IF(OR('Summary Op Stmt (Operators)'!$J$20=0,'Summary Op Stmt (Operators)'!$J$20=""),"",J29/'Summary Op Stmt (Operators)'!$J$20)</f>
        <v/>
      </c>
      <c r="L29" s="26"/>
      <c r="M29" s="31" t="str">
        <f>IF(OR('Summary Op Stmt (Operators)'!$L$20=0,'Summary Op Stmt (Operators)'!$L$20=""),"",L29/'Summary Op Stmt (Operators)'!$L$20)</f>
        <v/>
      </c>
    </row>
    <row r="30" spans="1:13" x14ac:dyDescent="0.2">
      <c r="A30" s="25" t="s">
        <v>179</v>
      </c>
      <c r="B30" s="26"/>
      <c r="C30" s="31" t="str">
        <f>IF(OR('Summary Op Stmt (Operators)'!$B$20=0,'Summary Op Stmt (Operators)'!$B$20=""),"",B30/'Summary Op Stmt (Operators)'!$B$20)</f>
        <v/>
      </c>
      <c r="D30" s="26"/>
      <c r="E30" s="31" t="str">
        <f>IF(OR('Summary Op Stmt (Operators)'!$D$20=0,'Summary Op Stmt (Operators)'!$D$20=""),"",D30/'Summary Op Stmt (Operators)'!$D$20)</f>
        <v/>
      </c>
      <c r="F30" s="26"/>
      <c r="G30" s="31" t="str">
        <f>IF(OR('Summary Op Stmt (Operators)'!$F$20=0,'Summary Op Stmt (Operators)'!$F$20=""),"",F30/'Summary Op Stmt (Operators)'!$F$20)</f>
        <v/>
      </c>
      <c r="H30" s="26"/>
      <c r="I30" s="31" t="str">
        <f>IF(OR('Summary Op Stmt (Operators)'!$H$20=0,'Summary Op Stmt (Operators)'!$H$20=""),"",H30/'Summary Op Stmt (Operators)'!$H$20)</f>
        <v/>
      </c>
      <c r="J30" s="26"/>
      <c r="K30" s="31" t="str">
        <f>IF(OR('Summary Op Stmt (Operators)'!$J$20=0,'Summary Op Stmt (Operators)'!$J$20=""),"",J30/'Summary Op Stmt (Operators)'!$J$20)</f>
        <v/>
      </c>
      <c r="L30" s="26"/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180</v>
      </c>
      <c r="B31" s="26"/>
      <c r="C31" s="31" t="str">
        <f>IF(OR('Summary Op Stmt (Operators)'!$B$20=0,'Summary Op Stmt (Operators)'!$B$20=""),"",B31/'Summary Op Stmt (Operators)'!$B$20)</f>
        <v/>
      </c>
      <c r="D31" s="26"/>
      <c r="E31" s="31" t="str">
        <f>IF(OR('Summary Op Stmt (Operators)'!$D$20=0,'Summary Op Stmt (Operators)'!$D$20=""),"",D31/'Summary Op Stmt (Operators)'!$D$20)</f>
        <v/>
      </c>
      <c r="F31" s="26"/>
      <c r="G31" s="31" t="str">
        <f>IF(OR('Summary Op Stmt (Operators)'!$F$20=0,'Summary Op Stmt (Operators)'!$F$20=""),"",F31/'Summary Op Stmt (Operators)'!$F$20)</f>
        <v/>
      </c>
      <c r="H31" s="26"/>
      <c r="I31" s="31" t="str">
        <f>IF(OR('Summary Op Stmt (Operators)'!$H$20=0,'Summary Op Stmt (Operators)'!$H$20=""),"",H31/'Summary Op Stmt (Operators)'!$H$20)</f>
        <v/>
      </c>
      <c r="J31" s="26"/>
      <c r="K31" s="31" t="str">
        <f>IF(OR('Summary Op Stmt (Operators)'!$J$20=0,'Summary Op Stmt (Operators)'!$J$20=""),"",J31/'Summary Op Stmt (Operators)'!$J$20)</f>
        <v/>
      </c>
      <c r="L31" s="26"/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25" t="s">
        <v>181</v>
      </c>
      <c r="B32" s="26"/>
      <c r="C32" s="31" t="str">
        <f>IF(OR('Summary Op Stmt (Operators)'!$B$20=0,'Summary Op Stmt (Operators)'!$B$20=""),"",B32/'Summary Op Stmt (Operators)'!$B$20)</f>
        <v/>
      </c>
      <c r="D32" s="26"/>
      <c r="E32" s="31" t="str">
        <f>IF(OR('Summary Op Stmt (Operators)'!$D$20=0,'Summary Op Stmt (Operators)'!$D$20=""),"",D32/'Summary Op Stmt (Operators)'!$D$20)</f>
        <v/>
      </c>
      <c r="F32" s="26"/>
      <c r="G32" s="31" t="str">
        <f>IF(OR('Summary Op Stmt (Operators)'!$F$20=0,'Summary Op Stmt (Operators)'!$F$20=""),"",F32/'Summary Op Stmt (Operators)'!$F$20)</f>
        <v/>
      </c>
      <c r="H32" s="26"/>
      <c r="I32" s="31" t="str">
        <f>IF(OR('Summary Op Stmt (Operators)'!$H$20=0,'Summary Op Stmt (Operators)'!$H$20=""),"",H32/'Summary Op Stmt (Operators)'!$H$20)</f>
        <v/>
      </c>
      <c r="J32" s="26"/>
      <c r="K32" s="31" t="str">
        <f>IF(OR('Summary Op Stmt (Operators)'!$J$20=0,'Summary Op Stmt (Operators)'!$J$20=""),"",J32/'Summary Op Stmt (Operators)'!$J$20)</f>
        <v/>
      </c>
      <c r="L32" s="26"/>
      <c r="M32" s="31" t="str">
        <f>IF(OR('Summary Op Stmt (Operators)'!$L$20=0,'Summary Op Stmt (Operators)'!$L$20=""),"",L32/'Summary Op Stmt (Operators)'!$L$20)</f>
        <v/>
      </c>
    </row>
    <row r="33" spans="1:13" x14ac:dyDescent="0.2">
      <c r="A33" s="25" t="s">
        <v>248</v>
      </c>
      <c r="B33" s="26"/>
      <c r="C33" s="31" t="str">
        <f>IF(OR('Summary Op Stmt (Operators)'!$B$20=0,'Summary Op Stmt (Operators)'!$B$20=""),"",B33/'Summary Op Stmt (Operators)'!$B$20)</f>
        <v/>
      </c>
      <c r="D33" s="26"/>
      <c r="E33" s="31" t="str">
        <f>IF(OR('Summary Op Stmt (Operators)'!$D$20=0,'Summary Op Stmt (Operators)'!$D$20=""),"",D33/'Summary Op Stmt (Operators)'!$D$20)</f>
        <v/>
      </c>
      <c r="F33" s="26"/>
      <c r="G33" s="31" t="str">
        <f>IF(OR('Summary Op Stmt (Operators)'!$F$20=0,'Summary Op Stmt (Operators)'!$F$20=""),"",F33/'Summary Op Stmt (Operators)'!$F$20)</f>
        <v/>
      </c>
      <c r="H33" s="26"/>
      <c r="I33" s="31" t="str">
        <f>IF(OR('Summary Op Stmt (Operators)'!$H$20=0,'Summary Op Stmt (Operators)'!$H$20=""),"",H33/'Summary Op Stmt (Operators)'!$H$20)</f>
        <v/>
      </c>
      <c r="J33" s="26"/>
      <c r="K33" s="31" t="str">
        <f>IF(OR('Summary Op Stmt (Operators)'!$J$20=0,'Summary Op Stmt (Operators)'!$J$20=""),"",J33/'Summary Op Stmt (Operators)'!$J$20)</f>
        <v/>
      </c>
      <c r="L33" s="26"/>
      <c r="M33" s="31" t="str">
        <f>IF(OR('Summary Op Stmt (Operators)'!$L$20=0,'Summary Op Stmt (Operators)'!$L$20=""),"",L33/'Summary Op Stmt (Operators)'!$L$20)</f>
        <v/>
      </c>
    </row>
    <row r="34" spans="1:13" x14ac:dyDescent="0.2">
      <c r="A34" s="25" t="s">
        <v>182</v>
      </c>
      <c r="B34" s="26"/>
      <c r="C34" s="31" t="str">
        <f>IF(OR('Summary Op Stmt (Operators)'!$B$20=0,'Summary Op Stmt (Operators)'!$B$20=""),"",B34/'Summary Op Stmt (Operators)'!$B$20)</f>
        <v/>
      </c>
      <c r="D34" s="26"/>
      <c r="E34" s="31" t="str">
        <f>IF(OR('Summary Op Stmt (Operators)'!$D$20=0,'Summary Op Stmt (Operators)'!$D$20=""),"",D34/'Summary Op Stmt (Operators)'!$D$20)</f>
        <v/>
      </c>
      <c r="F34" s="26"/>
      <c r="G34" s="31" t="str">
        <f>IF(OR('Summary Op Stmt (Operators)'!$F$20=0,'Summary Op Stmt (Operators)'!$F$20=""),"",F34/'Summary Op Stmt (Operators)'!$F$20)</f>
        <v/>
      </c>
      <c r="H34" s="26"/>
      <c r="I34" s="31" t="str">
        <f>IF(OR('Summary Op Stmt (Operators)'!$H$20=0,'Summary Op Stmt (Operators)'!$H$20=""),"",H34/'Summary Op Stmt (Operators)'!$H$20)</f>
        <v/>
      </c>
      <c r="J34" s="26"/>
      <c r="K34" s="31" t="str">
        <f>IF(OR('Summary Op Stmt (Operators)'!$J$20=0,'Summary Op Stmt (Operators)'!$J$20=""),"",J34/'Summary Op Stmt (Operators)'!$J$20)</f>
        <v/>
      </c>
      <c r="L34" s="26"/>
      <c r="M34" s="31" t="str">
        <f>IF(OR('Summary Op Stmt (Operators)'!$L$20=0,'Summary Op Stmt (Operators)'!$L$20=""),"",L34/'Summary Op Stmt (Operators)'!$L$20)</f>
        <v/>
      </c>
    </row>
    <row r="35" spans="1:13" x14ac:dyDescent="0.2">
      <c r="A35" s="25" t="s">
        <v>183</v>
      </c>
      <c r="B35" s="26"/>
      <c r="C35" s="31" t="str">
        <f>IF(OR('Summary Op Stmt (Operators)'!$B$20=0,'Summary Op Stmt (Operators)'!$B$20=""),"",B35/'Summary Op Stmt (Operators)'!$B$20)</f>
        <v/>
      </c>
      <c r="D35" s="26"/>
      <c r="E35" s="31" t="str">
        <f>IF(OR('Summary Op Stmt (Operators)'!$D$20=0,'Summary Op Stmt (Operators)'!$D$20=""),"",D35/'Summary Op Stmt (Operators)'!$D$20)</f>
        <v/>
      </c>
      <c r="F35" s="26"/>
      <c r="G35" s="31" t="str">
        <f>IF(OR('Summary Op Stmt (Operators)'!$F$20=0,'Summary Op Stmt (Operators)'!$F$20=""),"",F35/'Summary Op Stmt (Operators)'!$F$20)</f>
        <v/>
      </c>
      <c r="H35" s="26"/>
      <c r="I35" s="31" t="str">
        <f>IF(OR('Summary Op Stmt (Operators)'!$H$20=0,'Summary Op Stmt (Operators)'!$H$20=""),"",H35/'Summary Op Stmt (Operators)'!$H$20)</f>
        <v/>
      </c>
      <c r="J35" s="26"/>
      <c r="K35" s="31" t="str">
        <f>IF(OR('Summary Op Stmt (Operators)'!$J$20=0,'Summary Op Stmt (Operators)'!$J$20=""),"",J35/'Summary Op Stmt (Operators)'!$J$20)</f>
        <v/>
      </c>
      <c r="L35" s="26"/>
      <c r="M35" s="31" t="str">
        <f>IF(OR('Summary Op Stmt (Operators)'!$L$20=0,'Summary Op Stmt (Operators)'!$L$20=""),"",L35/'Summary Op Stmt (Operators)'!$L$20)</f>
        <v/>
      </c>
    </row>
    <row r="36" spans="1:13" x14ac:dyDescent="0.2">
      <c r="A36" s="25" t="s">
        <v>184</v>
      </c>
      <c r="B36" s="26"/>
      <c r="C36" s="31" t="str">
        <f>IF(OR('Summary Op Stmt (Operators)'!$B$20=0,'Summary Op Stmt (Operators)'!$B$20=""),"",B36/'Summary Op Stmt (Operators)'!$B$20)</f>
        <v/>
      </c>
      <c r="D36" s="26"/>
      <c r="E36" s="31" t="str">
        <f>IF(OR('Summary Op Stmt (Operators)'!$D$20=0,'Summary Op Stmt (Operators)'!$D$20=""),"",D36/'Summary Op Stmt (Operators)'!$D$20)</f>
        <v/>
      </c>
      <c r="F36" s="26"/>
      <c r="G36" s="31" t="str">
        <f>IF(OR('Summary Op Stmt (Operators)'!$F$20=0,'Summary Op Stmt (Operators)'!$F$20=""),"",F36/'Summary Op Stmt (Operators)'!$F$20)</f>
        <v/>
      </c>
      <c r="H36" s="26"/>
      <c r="I36" s="31" t="str">
        <f>IF(OR('Summary Op Stmt (Operators)'!$H$20=0,'Summary Op Stmt (Operators)'!$H$20=""),"",H36/'Summary Op Stmt (Operators)'!$H$20)</f>
        <v/>
      </c>
      <c r="J36" s="26"/>
      <c r="K36" s="31" t="str">
        <f>IF(OR('Summary Op Stmt (Operators)'!$J$20=0,'Summary Op Stmt (Operators)'!$J$20=""),"",J36/'Summary Op Stmt (Operators)'!$J$20)</f>
        <v/>
      </c>
      <c r="L36" s="26"/>
      <c r="M36" s="31" t="str">
        <f>IF(OR('Summary Op Stmt (Operators)'!$L$20=0,'Summary Op Stmt (Operators)'!$L$20=""),"",L36/'Summary Op Stmt (Operators)'!$L$20)</f>
        <v/>
      </c>
    </row>
    <row r="37" spans="1:13" x14ac:dyDescent="0.2">
      <c r="A37" s="25" t="s">
        <v>249</v>
      </c>
      <c r="B37" s="26"/>
      <c r="C37" s="31" t="str">
        <f>IF(OR('Summary Op Stmt (Operators)'!$B$20=0,'Summary Op Stmt (Operators)'!$B$20=""),"",B37/'Summary Op Stmt (Operators)'!$B$20)</f>
        <v/>
      </c>
      <c r="D37" s="26"/>
      <c r="E37" s="31" t="str">
        <f>IF(OR('Summary Op Stmt (Operators)'!$D$20=0,'Summary Op Stmt (Operators)'!$D$20=""),"",D37/'Summary Op Stmt (Operators)'!$D$20)</f>
        <v/>
      </c>
      <c r="F37" s="26"/>
      <c r="G37" s="31" t="str">
        <f>IF(OR('Summary Op Stmt (Operators)'!$F$20=0,'Summary Op Stmt (Operators)'!$F$20=""),"",F37/'Summary Op Stmt (Operators)'!$F$20)</f>
        <v/>
      </c>
      <c r="H37" s="26"/>
      <c r="I37" s="31" t="str">
        <f>IF(OR('Summary Op Stmt (Operators)'!$H$20=0,'Summary Op Stmt (Operators)'!$H$20=""),"",H37/'Summary Op Stmt (Operators)'!$H$20)</f>
        <v/>
      </c>
      <c r="J37" s="26"/>
      <c r="K37" s="31" t="str">
        <f>IF(OR('Summary Op Stmt (Operators)'!$J$20=0,'Summary Op Stmt (Operators)'!$J$20=""),"",J37/'Summary Op Stmt (Operators)'!$J$20)</f>
        <v/>
      </c>
      <c r="L37" s="26"/>
      <c r="M37" s="31" t="str">
        <f>IF(OR('Summary Op Stmt (Operators)'!$L$20=0,'Summary Op Stmt (Operators)'!$L$20=""),"",L37/'Summary Op Stmt (Operators)'!$L$20)</f>
        <v/>
      </c>
    </row>
    <row r="38" spans="1:13" x14ac:dyDescent="0.2">
      <c r="A38" s="25" t="s">
        <v>250</v>
      </c>
      <c r="B38" s="26"/>
      <c r="C38" s="31" t="str">
        <f>IF(OR('Summary Op Stmt (Operators)'!$B$20=0,'Summary Op Stmt (Operators)'!$B$20=""),"",B38/'Summary Op Stmt (Operators)'!$B$20)</f>
        <v/>
      </c>
      <c r="D38" s="26"/>
      <c r="E38" s="31" t="str">
        <f>IF(OR('Summary Op Stmt (Operators)'!$D$20=0,'Summary Op Stmt (Operators)'!$D$20=""),"",D38/'Summary Op Stmt (Operators)'!$D$20)</f>
        <v/>
      </c>
      <c r="F38" s="26"/>
      <c r="G38" s="31" t="str">
        <f>IF(OR('Summary Op Stmt (Operators)'!$F$20=0,'Summary Op Stmt (Operators)'!$F$20=""),"",F38/'Summary Op Stmt (Operators)'!$F$20)</f>
        <v/>
      </c>
      <c r="H38" s="26"/>
      <c r="I38" s="31" t="str">
        <f>IF(OR('Summary Op Stmt (Operators)'!$H$20=0,'Summary Op Stmt (Operators)'!$H$20=""),"",H38/'Summary Op Stmt (Operators)'!$H$20)</f>
        <v/>
      </c>
      <c r="J38" s="26"/>
      <c r="K38" s="31" t="str">
        <f>IF(OR('Summary Op Stmt (Operators)'!$J$20=0,'Summary Op Stmt (Operators)'!$J$20=""),"",J38/'Summary Op Stmt (Operators)'!$J$20)</f>
        <v/>
      </c>
      <c r="L38" s="26"/>
      <c r="M38" s="31" t="str">
        <f>IF(OR('Summary Op Stmt (Operators)'!$L$20=0,'Summary Op Stmt (Operators)'!$L$20=""),"",L38/'Summary Op Stmt (Operators)'!$L$20)</f>
        <v/>
      </c>
    </row>
    <row r="39" spans="1:13" x14ac:dyDescent="0.2">
      <c r="A39" s="25" t="s">
        <v>251</v>
      </c>
      <c r="B39" s="26"/>
      <c r="C39" s="31" t="str">
        <f>IF(OR('Summary Op Stmt (Operators)'!$B$20=0,'Summary Op Stmt (Operators)'!$B$20=""),"",B39/'Summary Op Stmt (Operators)'!$B$20)</f>
        <v/>
      </c>
      <c r="D39" s="26"/>
      <c r="E39" s="31" t="str">
        <f>IF(OR('Summary Op Stmt (Operators)'!$D$20=0,'Summary Op Stmt (Operators)'!$D$20=""),"",D39/'Summary Op Stmt (Operators)'!$D$20)</f>
        <v/>
      </c>
      <c r="F39" s="26"/>
      <c r="G39" s="31" t="str">
        <f>IF(OR('Summary Op Stmt (Operators)'!$F$20=0,'Summary Op Stmt (Operators)'!$F$20=""),"",F39/'Summary Op Stmt (Operators)'!$F$20)</f>
        <v/>
      </c>
      <c r="H39" s="26"/>
      <c r="I39" s="31" t="str">
        <f>IF(OR('Summary Op Stmt (Operators)'!$H$20=0,'Summary Op Stmt (Operators)'!$H$20=""),"",H39/'Summary Op Stmt (Operators)'!$H$20)</f>
        <v/>
      </c>
      <c r="J39" s="26"/>
      <c r="K39" s="31" t="str">
        <f>IF(OR('Summary Op Stmt (Operators)'!$J$20=0,'Summary Op Stmt (Operators)'!$J$20=""),"",J39/'Summary Op Stmt (Operators)'!$J$20)</f>
        <v/>
      </c>
      <c r="L39" s="26"/>
      <c r="M39" s="31" t="str">
        <f>IF(OR('Summary Op Stmt (Operators)'!$L$20=0,'Summary Op Stmt (Operators)'!$L$20=""),"",L39/'Summary Op Stmt (Operators)'!$L$20)</f>
        <v/>
      </c>
    </row>
    <row r="40" spans="1:13" x14ac:dyDescent="0.2">
      <c r="A40" s="25" t="s">
        <v>252</v>
      </c>
      <c r="B40" s="26"/>
      <c r="C40" s="31" t="str">
        <f>IF(OR('Summary Op Stmt (Operators)'!$B$20=0,'Summary Op Stmt (Operators)'!$B$20=""),"",B40/'Summary Op Stmt (Operators)'!$B$20)</f>
        <v/>
      </c>
      <c r="D40" s="26"/>
      <c r="E40" s="31" t="str">
        <f>IF(OR('Summary Op Stmt (Operators)'!$D$20=0,'Summary Op Stmt (Operators)'!$D$20=""),"",D40/'Summary Op Stmt (Operators)'!$D$20)</f>
        <v/>
      </c>
      <c r="F40" s="26"/>
      <c r="G40" s="31" t="str">
        <f>IF(OR('Summary Op Stmt (Operators)'!$F$20=0,'Summary Op Stmt (Operators)'!$F$20=""),"",F40/'Summary Op Stmt (Operators)'!$F$20)</f>
        <v/>
      </c>
      <c r="H40" s="26"/>
      <c r="I40" s="31" t="str">
        <f>IF(OR('Summary Op Stmt (Operators)'!$H$20=0,'Summary Op Stmt (Operators)'!$H$20=""),"",H40/'Summary Op Stmt (Operators)'!$H$20)</f>
        <v/>
      </c>
      <c r="J40" s="26"/>
      <c r="K40" s="31" t="str">
        <f>IF(OR('Summary Op Stmt (Operators)'!$J$20=0,'Summary Op Stmt (Operators)'!$J$20=""),"",J40/'Summary Op Stmt (Operators)'!$J$20)</f>
        <v/>
      </c>
      <c r="L40" s="26"/>
      <c r="M40" s="31" t="str">
        <f>IF(OR('Summary Op Stmt (Operators)'!$L$20=0,'Summary Op Stmt (Operators)'!$L$20=""),"",L40/'Summary Op Stmt (Operators)'!$L$20)</f>
        <v/>
      </c>
    </row>
    <row r="41" spans="1:13" x14ac:dyDescent="0.2">
      <c r="A41" s="25" t="s">
        <v>253</v>
      </c>
      <c r="B41" s="26"/>
      <c r="C41" s="31" t="str">
        <f>IF(OR('Summary Op Stmt (Operators)'!$B$20=0,'Summary Op Stmt (Operators)'!$B$20=""),"",B41/'Summary Op Stmt (Operators)'!$B$20)</f>
        <v/>
      </c>
      <c r="D41" s="26"/>
      <c r="E41" s="31" t="str">
        <f>IF(OR('Summary Op Stmt (Operators)'!$D$20=0,'Summary Op Stmt (Operators)'!$D$20=""),"",D41/'Summary Op Stmt (Operators)'!$D$20)</f>
        <v/>
      </c>
      <c r="F41" s="26"/>
      <c r="G41" s="31" t="str">
        <f>IF(OR('Summary Op Stmt (Operators)'!$F$20=0,'Summary Op Stmt (Operators)'!$F$20=""),"",F41/'Summary Op Stmt (Operators)'!$F$20)</f>
        <v/>
      </c>
      <c r="H41" s="26"/>
      <c r="I41" s="31" t="str">
        <f>IF(OR('Summary Op Stmt (Operators)'!$H$20=0,'Summary Op Stmt (Operators)'!$H$20=""),"",H41/'Summary Op Stmt (Operators)'!$H$20)</f>
        <v/>
      </c>
      <c r="J41" s="26"/>
      <c r="K41" s="31" t="str">
        <f>IF(OR('Summary Op Stmt (Operators)'!$J$20=0,'Summary Op Stmt (Operators)'!$J$20=""),"",J41/'Summary Op Stmt (Operators)'!$J$20)</f>
        <v/>
      </c>
      <c r="L41" s="26"/>
      <c r="M41" s="31" t="str">
        <f>IF(OR('Summary Op Stmt (Operators)'!$L$20=0,'Summary Op Stmt (Operators)'!$L$20=""),"",L41/'Summary Op Stmt (Operators)'!$L$20)</f>
        <v/>
      </c>
    </row>
    <row r="42" spans="1:13" x14ac:dyDescent="0.2">
      <c r="A42" s="25" t="s">
        <v>188</v>
      </c>
      <c r="B42" s="26"/>
      <c r="C42" s="31" t="str">
        <f>IF(OR('Summary Op Stmt (Operators)'!$B$20=0,'Summary Op Stmt (Operators)'!$B$20=""),"",B42/'Summary Op Stmt (Operators)'!$B$20)</f>
        <v/>
      </c>
      <c r="D42" s="26"/>
      <c r="E42" s="31" t="str">
        <f>IF(OR('Summary Op Stmt (Operators)'!$D$20=0,'Summary Op Stmt (Operators)'!$D$20=""),"",D42/'Summary Op Stmt (Operators)'!$D$20)</f>
        <v/>
      </c>
      <c r="F42" s="26"/>
      <c r="G42" s="31" t="str">
        <f>IF(OR('Summary Op Stmt (Operators)'!$F$20=0,'Summary Op Stmt (Operators)'!$F$20=""),"",F42/'Summary Op Stmt (Operators)'!$F$20)</f>
        <v/>
      </c>
      <c r="H42" s="26"/>
      <c r="I42" s="31" t="str">
        <f>IF(OR('Summary Op Stmt (Operators)'!$H$20=0,'Summary Op Stmt (Operators)'!$H$20=""),"",H42/'Summary Op Stmt (Operators)'!$H$20)</f>
        <v/>
      </c>
      <c r="J42" s="26"/>
      <c r="K42" s="31" t="str">
        <f>IF(OR('Summary Op Stmt (Operators)'!$J$20=0,'Summary Op Stmt (Operators)'!$J$20=""),"",J42/'Summary Op Stmt (Operators)'!$J$20)</f>
        <v/>
      </c>
      <c r="L42" s="26"/>
      <c r="M42" s="31" t="str">
        <f>IF(OR('Summary Op Stmt (Operators)'!$L$20=0,'Summary Op Stmt (Operators)'!$L$20=""),"",L42/'Summary Op Stmt (Operators)'!$L$20)</f>
        <v/>
      </c>
    </row>
    <row r="43" spans="1:13" x14ac:dyDescent="0.2">
      <c r="A43" s="25" t="s">
        <v>189</v>
      </c>
      <c r="B43" s="26"/>
      <c r="C43" s="31" t="str">
        <f>IF(OR('Summary Op Stmt (Operators)'!$B$20=0,'Summary Op Stmt (Operators)'!$B$20=""),"",B43/'Summary Op Stmt (Operators)'!$B$20)</f>
        <v/>
      </c>
      <c r="D43" s="26"/>
      <c r="E43" s="31" t="str">
        <f>IF(OR('Summary Op Stmt (Operators)'!$D$20=0,'Summary Op Stmt (Operators)'!$D$20=""),"",D43/'Summary Op Stmt (Operators)'!$D$20)</f>
        <v/>
      </c>
      <c r="F43" s="26"/>
      <c r="G43" s="31" t="str">
        <f>IF(OR('Summary Op Stmt (Operators)'!$F$20=0,'Summary Op Stmt (Operators)'!$F$20=""),"",F43/'Summary Op Stmt (Operators)'!$F$20)</f>
        <v/>
      </c>
      <c r="H43" s="26"/>
      <c r="I43" s="31" t="str">
        <f>IF(OR('Summary Op Stmt (Operators)'!$H$20=0,'Summary Op Stmt (Operators)'!$H$20=""),"",H43/'Summary Op Stmt (Operators)'!$H$20)</f>
        <v/>
      </c>
      <c r="J43" s="26"/>
      <c r="K43" s="31" t="str">
        <f>IF(OR('Summary Op Stmt (Operators)'!$J$20=0,'Summary Op Stmt (Operators)'!$J$20=""),"",J43/'Summary Op Stmt (Operators)'!$J$20)</f>
        <v/>
      </c>
      <c r="L43" s="26"/>
      <c r="M43" s="31" t="str">
        <f>IF(OR('Summary Op Stmt (Operators)'!$L$20=0,'Summary Op Stmt (Operators)'!$L$20=""),"",L43/'Summary Op Stmt (Operators)'!$L$20)</f>
        <v/>
      </c>
    </row>
    <row r="44" spans="1:13" x14ac:dyDescent="0.2">
      <c r="A44" s="25" t="s">
        <v>190</v>
      </c>
      <c r="B44" s="26"/>
      <c r="C44" s="31" t="str">
        <f>IF(OR('Summary Op Stmt (Operators)'!$B$20=0,'Summary Op Stmt (Operators)'!$B$20=""),"",B44/'Summary Op Stmt (Operators)'!$B$20)</f>
        <v/>
      </c>
      <c r="D44" s="26"/>
      <c r="E44" s="31" t="str">
        <f>IF(OR('Summary Op Stmt (Operators)'!$D$20=0,'Summary Op Stmt (Operators)'!$D$20=""),"",D44/'Summary Op Stmt (Operators)'!$D$20)</f>
        <v/>
      </c>
      <c r="F44" s="26"/>
      <c r="G44" s="31" t="str">
        <f>IF(OR('Summary Op Stmt (Operators)'!$F$20=0,'Summary Op Stmt (Operators)'!$F$20=""),"",F44/'Summary Op Stmt (Operators)'!$F$20)</f>
        <v/>
      </c>
      <c r="H44" s="26"/>
      <c r="I44" s="31" t="str">
        <f>IF(OR('Summary Op Stmt (Operators)'!$H$20=0,'Summary Op Stmt (Operators)'!$H$20=""),"",H44/'Summary Op Stmt (Operators)'!$H$20)</f>
        <v/>
      </c>
      <c r="J44" s="26"/>
      <c r="K44" s="31" t="str">
        <f>IF(OR('Summary Op Stmt (Operators)'!$J$20=0,'Summary Op Stmt (Operators)'!$J$20=""),"",J44/'Summary Op Stmt (Operators)'!$J$20)</f>
        <v/>
      </c>
      <c r="L44" s="26"/>
      <c r="M44" s="31" t="str">
        <f>IF(OR('Summary Op Stmt (Operators)'!$L$20=0,'Summary Op Stmt (Operators)'!$L$20=""),"",L44/'Summary Op Stmt (Operators)'!$L$20)</f>
        <v/>
      </c>
    </row>
    <row r="45" spans="1:13" x14ac:dyDescent="0.2">
      <c r="A45" s="25" t="s">
        <v>191</v>
      </c>
      <c r="B45" s="26"/>
      <c r="C45" s="31" t="str">
        <f>IF(OR('Summary Op Stmt (Operators)'!$B$20=0,'Summary Op Stmt (Operators)'!$B$20=""),"",B45/'Summary Op Stmt (Operators)'!$B$20)</f>
        <v/>
      </c>
      <c r="D45" s="26"/>
      <c r="E45" s="31" t="str">
        <f>IF(OR('Summary Op Stmt (Operators)'!$D$20=0,'Summary Op Stmt (Operators)'!$D$20=""),"",D45/'Summary Op Stmt (Operators)'!$D$20)</f>
        <v/>
      </c>
      <c r="F45" s="26"/>
      <c r="G45" s="31" t="str">
        <f>IF(OR('Summary Op Stmt (Operators)'!$F$20=0,'Summary Op Stmt (Operators)'!$F$20=""),"",F45/'Summary Op Stmt (Operators)'!$F$20)</f>
        <v/>
      </c>
      <c r="H45" s="26"/>
      <c r="I45" s="31" t="str">
        <f>IF(OR('Summary Op Stmt (Operators)'!$H$20=0,'Summary Op Stmt (Operators)'!$H$20=""),"",H45/'Summary Op Stmt (Operators)'!$H$20)</f>
        <v/>
      </c>
      <c r="J45" s="26"/>
      <c r="K45" s="31" t="str">
        <f>IF(OR('Summary Op Stmt (Operators)'!$J$20=0,'Summary Op Stmt (Operators)'!$J$20=""),"",J45/'Summary Op Stmt (Operators)'!$J$20)</f>
        <v/>
      </c>
      <c r="L45" s="26"/>
      <c r="M45" s="31" t="str">
        <f>IF(OR('Summary Op Stmt (Operators)'!$L$20=0,'Summary Op Stmt (Operators)'!$L$20=""),"",L45/'Summary Op Stmt (Operators)'!$L$20)</f>
        <v/>
      </c>
    </row>
    <row r="46" spans="1:13" x14ac:dyDescent="0.2">
      <c r="A46" s="25" t="s">
        <v>192</v>
      </c>
      <c r="B46" s="26"/>
      <c r="C46" s="31" t="str">
        <f>IF(OR('Summary Op Stmt (Operators)'!$B$20=0,'Summary Op Stmt (Operators)'!$B$20=""),"",B46/'Summary Op Stmt (Operators)'!$B$20)</f>
        <v/>
      </c>
      <c r="D46" s="26"/>
      <c r="E46" s="31" t="str">
        <f>IF(OR('Summary Op Stmt (Operators)'!$D$20=0,'Summary Op Stmt (Operators)'!$D$20=""),"",D46/'Summary Op Stmt (Operators)'!$D$20)</f>
        <v/>
      </c>
      <c r="F46" s="26"/>
      <c r="G46" s="31" t="str">
        <f>IF(OR('Summary Op Stmt (Operators)'!$F$20=0,'Summary Op Stmt (Operators)'!$F$20=""),"",F46/'Summary Op Stmt (Operators)'!$F$20)</f>
        <v/>
      </c>
      <c r="H46" s="26"/>
      <c r="I46" s="31" t="str">
        <f>IF(OR('Summary Op Stmt (Operators)'!$H$20=0,'Summary Op Stmt (Operators)'!$H$20=""),"",H46/'Summary Op Stmt (Operators)'!$H$20)</f>
        <v/>
      </c>
      <c r="J46" s="26"/>
      <c r="K46" s="31" t="str">
        <f>IF(OR('Summary Op Stmt (Operators)'!$J$20=0,'Summary Op Stmt (Operators)'!$J$20=""),"",J46/'Summary Op Stmt (Operators)'!$J$20)</f>
        <v/>
      </c>
      <c r="L46" s="26"/>
      <c r="M46" s="31" t="str">
        <f>IF(OR('Summary Op Stmt (Operators)'!$L$20=0,'Summary Op Stmt (Operators)'!$L$20=""),"",L46/'Summary Op Stmt (Operators)'!$L$20)</f>
        <v/>
      </c>
    </row>
    <row r="47" spans="1:13" x14ac:dyDescent="0.2">
      <c r="A47" s="25" t="s">
        <v>256</v>
      </c>
      <c r="B47" s="26"/>
      <c r="C47" s="31" t="str">
        <f>IF(OR('Summary Op Stmt (Operators)'!$B$20=0,'Summary Op Stmt (Operators)'!$B$20=""),"",B47/'Summary Op Stmt (Operators)'!$B$20)</f>
        <v/>
      </c>
      <c r="D47" s="26"/>
      <c r="E47" s="31" t="str">
        <f>IF(OR('Summary Op Stmt (Operators)'!$D$20=0,'Summary Op Stmt (Operators)'!$D$20=""),"",D47/'Summary Op Stmt (Operators)'!$D$20)</f>
        <v/>
      </c>
      <c r="F47" s="26"/>
      <c r="G47" s="31" t="str">
        <f>IF(OR('Summary Op Stmt (Operators)'!$F$20=0,'Summary Op Stmt (Operators)'!$F$20=""),"",F47/'Summary Op Stmt (Operators)'!$F$20)</f>
        <v/>
      </c>
      <c r="H47" s="26"/>
      <c r="I47" s="31" t="str">
        <f>IF(OR('Summary Op Stmt (Operators)'!$H$20=0,'Summary Op Stmt (Operators)'!$H$20=""),"",H47/'Summary Op Stmt (Operators)'!$H$20)</f>
        <v/>
      </c>
      <c r="J47" s="26"/>
      <c r="K47" s="31" t="str">
        <f>IF(OR('Summary Op Stmt (Operators)'!$J$20=0,'Summary Op Stmt (Operators)'!$J$20=""),"",J47/'Summary Op Stmt (Operators)'!$J$20)</f>
        <v/>
      </c>
      <c r="L47" s="26"/>
      <c r="M47" s="31" t="str">
        <f>IF(OR('Summary Op Stmt (Operators)'!$L$20=0,'Summary Op Stmt (Operators)'!$L$20=""),"",L47/'Summary Op Stmt (Operators)'!$L$20)</f>
        <v/>
      </c>
    </row>
    <row r="48" spans="1:13" x14ac:dyDescent="0.2">
      <c r="A48" s="25" t="s">
        <v>194</v>
      </c>
      <c r="B48" s="26"/>
      <c r="C48" s="31" t="str">
        <f>IF(OR('Summary Op Stmt (Operators)'!$B$20=0,'Summary Op Stmt (Operators)'!$B$20=""),"",B48/'Summary Op Stmt (Operators)'!$B$20)</f>
        <v/>
      </c>
      <c r="D48" s="26"/>
      <c r="E48" s="31" t="str">
        <f>IF(OR('Summary Op Stmt (Operators)'!$D$20=0,'Summary Op Stmt (Operators)'!$D$20=""),"",D48/'Summary Op Stmt (Operators)'!$D$20)</f>
        <v/>
      </c>
      <c r="F48" s="26"/>
      <c r="G48" s="31" t="str">
        <f>IF(OR('Summary Op Stmt (Operators)'!$F$20=0,'Summary Op Stmt (Operators)'!$F$20=""),"",F48/'Summary Op Stmt (Operators)'!$F$20)</f>
        <v/>
      </c>
      <c r="H48" s="26"/>
      <c r="I48" s="31" t="str">
        <f>IF(OR('Summary Op Stmt (Operators)'!$H$20=0,'Summary Op Stmt (Operators)'!$H$20=""),"",H48/'Summary Op Stmt (Operators)'!$H$20)</f>
        <v/>
      </c>
      <c r="J48" s="26"/>
      <c r="K48" s="31" t="str">
        <f>IF(OR('Summary Op Stmt (Operators)'!$J$20=0,'Summary Op Stmt (Operators)'!$J$20=""),"",J48/'Summary Op Stmt (Operators)'!$J$20)</f>
        <v/>
      </c>
      <c r="L48" s="26"/>
      <c r="M48" s="31" t="str">
        <f>IF(OR('Summary Op Stmt (Operators)'!$L$20=0,'Summary Op Stmt (Operators)'!$L$20=""),"",L48/'Summary Op Stmt (Operators)'!$L$20)</f>
        <v/>
      </c>
    </row>
    <row r="49" spans="1:13" x14ac:dyDescent="0.2">
      <c r="A49" s="25" t="s">
        <v>197</v>
      </c>
      <c r="B49" s="26"/>
      <c r="C49" s="31" t="str">
        <f>IF(OR('Summary Op Stmt (Operators)'!$B$20=0,'Summary Op Stmt (Operators)'!$B$20=""),"",B49/'Summary Op Stmt (Operators)'!$B$20)</f>
        <v/>
      </c>
      <c r="D49" s="26"/>
      <c r="E49" s="31" t="str">
        <f>IF(OR('Summary Op Stmt (Operators)'!$D$20=0,'Summary Op Stmt (Operators)'!$D$20=""),"",D49/'Summary Op Stmt (Operators)'!$D$20)</f>
        <v/>
      </c>
      <c r="F49" s="26"/>
      <c r="G49" s="31" t="str">
        <f>IF(OR('Summary Op Stmt (Operators)'!$F$20=0,'Summary Op Stmt (Operators)'!$F$20=""),"",F49/'Summary Op Stmt (Operators)'!$F$20)</f>
        <v/>
      </c>
      <c r="H49" s="26"/>
      <c r="I49" s="31" t="str">
        <f>IF(OR('Summary Op Stmt (Operators)'!$H$20=0,'Summary Op Stmt (Operators)'!$H$20=""),"",H49/'Summary Op Stmt (Operators)'!$H$20)</f>
        <v/>
      </c>
      <c r="J49" s="26"/>
      <c r="K49" s="31" t="str">
        <f>IF(OR('Summary Op Stmt (Operators)'!$J$20=0,'Summary Op Stmt (Operators)'!$J$20=""),"",J49/'Summary Op Stmt (Operators)'!$J$20)</f>
        <v/>
      </c>
      <c r="L49" s="26"/>
      <c r="M49" s="31" t="str">
        <f>IF(OR('Summary Op Stmt (Operators)'!$L$20=0,'Summary Op Stmt (Operators)'!$L$20=""),"",L49/'Summary Op Stmt (Operators)'!$L$20)</f>
        <v/>
      </c>
    </row>
    <row r="50" spans="1:13" x14ac:dyDescent="0.2">
      <c r="A50" s="25" t="s">
        <v>198</v>
      </c>
      <c r="B50" s="26"/>
      <c r="C50" s="31" t="str">
        <f>IF(OR('Summary Op Stmt (Operators)'!$B$20=0,'Summary Op Stmt (Operators)'!$B$20=""),"",B50/'Summary Op Stmt (Operators)'!$B$20)</f>
        <v/>
      </c>
      <c r="D50" s="26"/>
      <c r="E50" s="31" t="str">
        <f>IF(OR('Summary Op Stmt (Operators)'!$D$20=0,'Summary Op Stmt (Operators)'!$D$20=""),"",D50/'Summary Op Stmt (Operators)'!$D$20)</f>
        <v/>
      </c>
      <c r="F50" s="26"/>
      <c r="G50" s="31" t="str">
        <f>IF(OR('Summary Op Stmt (Operators)'!$F$20=0,'Summary Op Stmt (Operators)'!$F$20=""),"",F50/'Summary Op Stmt (Operators)'!$F$20)</f>
        <v/>
      </c>
      <c r="H50" s="26"/>
      <c r="I50" s="31" t="str">
        <f>IF(OR('Summary Op Stmt (Operators)'!$H$20=0,'Summary Op Stmt (Operators)'!$H$20=""),"",H50/'Summary Op Stmt (Operators)'!$H$20)</f>
        <v/>
      </c>
      <c r="J50" s="26"/>
      <c r="K50" s="31" t="str">
        <f>IF(OR('Summary Op Stmt (Operators)'!$J$20=0,'Summary Op Stmt (Operators)'!$J$20=""),"",J50/'Summary Op Stmt (Operators)'!$J$20)</f>
        <v/>
      </c>
      <c r="L50" s="26"/>
      <c r="M50" s="31" t="str">
        <f>IF(OR('Summary Op Stmt (Operators)'!$L$20=0,'Summary Op Stmt (Operators)'!$L$20=""),"",L50/'Summary Op Stmt (Operators)'!$L$20)</f>
        <v/>
      </c>
    </row>
    <row r="51" spans="1:13" x14ac:dyDescent="0.2">
      <c r="A51" s="25" t="s">
        <v>199</v>
      </c>
      <c r="B51" s="26"/>
      <c r="C51" s="31" t="str">
        <f>IF(OR('Summary Op Stmt (Operators)'!$B$20=0,'Summary Op Stmt (Operators)'!$B$20=""),"",B51/'Summary Op Stmt (Operators)'!$B$20)</f>
        <v/>
      </c>
      <c r="D51" s="26"/>
      <c r="E51" s="31" t="str">
        <f>IF(OR('Summary Op Stmt (Operators)'!$D$20=0,'Summary Op Stmt (Operators)'!$D$20=""),"",D51/'Summary Op Stmt (Operators)'!$D$20)</f>
        <v/>
      </c>
      <c r="F51" s="26"/>
      <c r="G51" s="31" t="str">
        <f>IF(OR('Summary Op Stmt (Operators)'!$F$20=0,'Summary Op Stmt (Operators)'!$F$20=""),"",F51/'Summary Op Stmt (Operators)'!$F$20)</f>
        <v/>
      </c>
      <c r="H51" s="26"/>
      <c r="I51" s="31" t="str">
        <f>IF(OR('Summary Op Stmt (Operators)'!$H$20=0,'Summary Op Stmt (Operators)'!$H$20=""),"",H51/'Summary Op Stmt (Operators)'!$H$20)</f>
        <v/>
      </c>
      <c r="J51" s="26"/>
      <c r="K51" s="31" t="str">
        <f>IF(OR('Summary Op Stmt (Operators)'!$J$20=0,'Summary Op Stmt (Operators)'!$J$20=""),"",J51/'Summary Op Stmt (Operators)'!$J$20)</f>
        <v/>
      </c>
      <c r="L51" s="26"/>
      <c r="M51" s="31" t="str">
        <f>IF(OR('Summary Op Stmt (Operators)'!$L$20=0,'Summary Op Stmt (Operators)'!$L$20=""),"",L51/'Summary Op Stmt (Operators)'!$L$20)</f>
        <v/>
      </c>
    </row>
    <row r="52" spans="1:13" x14ac:dyDescent="0.2">
      <c r="A52" s="25" t="s">
        <v>200</v>
      </c>
      <c r="B52" s="26"/>
      <c r="C52" s="31" t="str">
        <f>IF(OR('Summary Op Stmt (Operators)'!$B$20=0,'Summary Op Stmt (Operators)'!$B$20=""),"",B52/'Summary Op Stmt (Operators)'!$B$20)</f>
        <v/>
      </c>
      <c r="D52" s="26"/>
      <c r="E52" s="31" t="str">
        <f>IF(OR('Summary Op Stmt (Operators)'!$D$20=0,'Summary Op Stmt (Operators)'!$D$20=""),"",D52/'Summary Op Stmt (Operators)'!$D$20)</f>
        <v/>
      </c>
      <c r="F52" s="26"/>
      <c r="G52" s="31" t="str">
        <f>IF(OR('Summary Op Stmt (Operators)'!$F$20=0,'Summary Op Stmt (Operators)'!$F$20=""),"",F52/'Summary Op Stmt (Operators)'!$F$20)</f>
        <v/>
      </c>
      <c r="H52" s="26"/>
      <c r="I52" s="31" t="str">
        <f>IF(OR('Summary Op Stmt (Operators)'!$H$20=0,'Summary Op Stmt (Operators)'!$H$20=""),"",H52/'Summary Op Stmt (Operators)'!$H$20)</f>
        <v/>
      </c>
      <c r="J52" s="26"/>
      <c r="K52" s="31" t="str">
        <f>IF(OR('Summary Op Stmt (Operators)'!$J$20=0,'Summary Op Stmt (Operators)'!$J$20=""),"",J52/'Summary Op Stmt (Operators)'!$J$20)</f>
        <v/>
      </c>
      <c r="L52" s="26"/>
      <c r="M52" s="31" t="str">
        <f>IF(OR('Summary Op Stmt (Operators)'!$L$20=0,'Summary Op Stmt (Operators)'!$L$20=""),"",L52/'Summary Op Stmt (Operators)'!$L$20)</f>
        <v/>
      </c>
    </row>
    <row r="53" spans="1:13" x14ac:dyDescent="0.2">
      <c r="A53" s="25" t="s">
        <v>201</v>
      </c>
      <c r="B53" s="26"/>
      <c r="C53" s="31" t="str">
        <f>IF(OR('Summary Op Stmt (Operators)'!$B$20=0,'Summary Op Stmt (Operators)'!$B$20=""),"",B53/'Summary Op Stmt (Operators)'!$B$20)</f>
        <v/>
      </c>
      <c r="D53" s="26"/>
      <c r="E53" s="31" t="str">
        <f>IF(OR('Summary Op Stmt (Operators)'!$D$20=0,'Summary Op Stmt (Operators)'!$D$20=""),"",D53/'Summary Op Stmt (Operators)'!$D$20)</f>
        <v/>
      </c>
      <c r="F53" s="26"/>
      <c r="G53" s="31" t="str">
        <f>IF(OR('Summary Op Stmt (Operators)'!$F$20=0,'Summary Op Stmt (Operators)'!$F$20=""),"",F53/'Summary Op Stmt (Operators)'!$F$20)</f>
        <v/>
      </c>
      <c r="H53" s="26"/>
      <c r="I53" s="31" t="str">
        <f>IF(OR('Summary Op Stmt (Operators)'!$H$20=0,'Summary Op Stmt (Operators)'!$H$20=""),"",H53/'Summary Op Stmt (Operators)'!$H$20)</f>
        <v/>
      </c>
      <c r="J53" s="26"/>
      <c r="K53" s="31" t="str">
        <f>IF(OR('Summary Op Stmt (Operators)'!$J$20=0,'Summary Op Stmt (Operators)'!$J$20=""),"",J53/'Summary Op Stmt (Operators)'!$J$20)</f>
        <v/>
      </c>
      <c r="L53" s="26"/>
      <c r="M53" s="31" t="str">
        <f>IF(OR('Summary Op Stmt (Operators)'!$L$20=0,'Summary Op Stmt (Operators)'!$L$20=""),"",L53/'Summary Op Stmt (Operators)'!$L$20)</f>
        <v/>
      </c>
    </row>
    <row r="54" spans="1:13" x14ac:dyDescent="0.2">
      <c r="A54" s="25" t="s">
        <v>257</v>
      </c>
      <c r="B54" s="26"/>
      <c r="C54" s="31" t="str">
        <f>IF(OR('Summary Op Stmt (Operators)'!$B$20=0,'Summary Op Stmt (Operators)'!$B$20=""),"",B54/'Summary Op Stmt (Operators)'!$B$20)</f>
        <v/>
      </c>
      <c r="D54" s="26"/>
      <c r="E54" s="31" t="str">
        <f>IF(OR('Summary Op Stmt (Operators)'!$D$20=0,'Summary Op Stmt (Operators)'!$D$20=""),"",D54/'Summary Op Stmt (Operators)'!$D$20)</f>
        <v/>
      </c>
      <c r="F54" s="26"/>
      <c r="G54" s="31" t="str">
        <f>IF(OR('Summary Op Stmt (Operators)'!$F$20=0,'Summary Op Stmt (Operators)'!$F$20=""),"",F54/'Summary Op Stmt (Operators)'!$F$20)</f>
        <v/>
      </c>
      <c r="H54" s="26"/>
      <c r="I54" s="31" t="str">
        <f>IF(OR('Summary Op Stmt (Operators)'!$H$20=0,'Summary Op Stmt (Operators)'!$H$20=""),"",H54/'Summary Op Stmt (Operators)'!$H$20)</f>
        <v/>
      </c>
      <c r="J54" s="26"/>
      <c r="K54" s="31" t="str">
        <f>IF(OR('Summary Op Stmt (Operators)'!$J$20=0,'Summary Op Stmt (Operators)'!$J$20=""),"",J54/'Summary Op Stmt (Operators)'!$J$20)</f>
        <v/>
      </c>
      <c r="L54" s="26"/>
      <c r="M54" s="31" t="str">
        <f>IF(OR('Summary Op Stmt (Operators)'!$L$20=0,'Summary Op Stmt (Operators)'!$L$20=""),"",L54/'Summary Op Stmt (Operators)'!$L$20)</f>
        <v/>
      </c>
    </row>
    <row r="55" spans="1:13" x14ac:dyDescent="0.2">
      <c r="A55" s="35" t="s">
        <v>202</v>
      </c>
      <c r="B55" s="36">
        <f>B28+B29+B30+B31+B32+B33+B34+B35+B36+B37+B38+B39+B40+B41+B42+B43+B44+B45+B46+B47+B48+B49+B50+B51+B52+B53+B54</f>
        <v>0</v>
      </c>
      <c r="C55" s="37" t="str">
        <f>IF(OR('Summary Op Stmt (Operators)'!$B$20=0,'Summary Op Stmt (Operators)'!$B$20=""),"",B55/'Summary Op Stmt (Operators)'!$B$20)</f>
        <v/>
      </c>
      <c r="D55" s="36">
        <f>D28+D29+D30+D31+D32+D33+D34+D35+D36+D37+D38+D39+D40+D41+D42+D43+D44+D45+D46+D47+D48+D49+D50+D51+D52+D53+D54</f>
        <v>0</v>
      </c>
      <c r="E55" s="37" t="str">
        <f>IF(OR('Summary Op Stmt (Operators)'!$D$20=0,'Summary Op Stmt (Operators)'!$D$20=""),"",D55/'Summary Op Stmt (Operators)'!$D$20)</f>
        <v/>
      </c>
      <c r="F55" s="36">
        <f>F28+F29+F30+F31+F32+F33+F34+F35+F36+F37+F38+F39+F40+F41+F42+F43+F44+F45+F46+F47+F48+F49+F50+F51+F52+F53+F54</f>
        <v>0</v>
      </c>
      <c r="G55" s="37" t="str">
        <f>IF(OR('Summary Op Stmt (Operators)'!$F$20=0,'Summary Op Stmt (Operators)'!$F$20=""),"",F55/'Summary Op Stmt (Operators)'!$F$20)</f>
        <v/>
      </c>
      <c r="H55" s="36">
        <f>H28+H29+H30+H31+H32+H33+H34+H35+H36+H37+H38+H39+H40+H41+H42+H43+H44+H45+H46+H47+H48+H49+H50+H51+H52+H53+H54</f>
        <v>0</v>
      </c>
      <c r="I55" s="37" t="str">
        <f>IF(OR('Summary Op Stmt (Operators)'!$H$20=0,'Summary Op Stmt (Operators)'!$H$20=""),"",H55/'Summary Op Stmt (Operators)'!$H$20)</f>
        <v/>
      </c>
      <c r="J55" s="36">
        <f>J28+J29+J30+J31+J32+J33+J34+J35+J36+J37+J38+J39+J40+J41+J42+J43+J44+J45+J46+J47+J48+J49+J50+J51+J52+J53+J54</f>
        <v>0</v>
      </c>
      <c r="K55" s="37" t="str">
        <f>IF(OR('Summary Op Stmt (Operators)'!$J$20=0,'Summary Op Stmt (Operators)'!$J$20=""),"",J55/'Summary Op Stmt (Operators)'!$J$20)</f>
        <v/>
      </c>
      <c r="L55" s="36">
        <f>L28+L29+L30+L31+L32+L33+L34+L35+L36+L37+L38+L39+L40+L41+L42+L43+L44+L45+L46+L47+L48+L49+L50+L51+L52+L53+L54</f>
        <v>0</v>
      </c>
      <c r="M55" s="37" t="str">
        <f>IF(OR('Summary Op Stmt (Operators)'!$L$20=0,'Summary Op Stmt (Operators)'!$L$20=""),"",L55/'Summary Op Stmt (Operators)'!$L$20)</f>
        <v/>
      </c>
    </row>
    <row r="56" spans="1:13" x14ac:dyDescent="0.2">
      <c r="A56" s="32" t="s">
        <v>203</v>
      </c>
      <c r="B56" s="33">
        <f>B8+B26+B55</f>
        <v>0</v>
      </c>
      <c r="C56" s="34" t="str">
        <f>IF(OR('Summary Op Stmt (Operators)'!$B$20=0,'Summary Op Stmt (Operators)'!$B$20=""),"",B56/'Summary Op Stmt (Operators)'!$B$20)</f>
        <v/>
      </c>
      <c r="D56" s="33">
        <f>D8+D26+D55</f>
        <v>0</v>
      </c>
      <c r="E56" s="34" t="str">
        <f>IF(OR('Summary Op Stmt (Operators)'!$D$20=0,'Summary Op Stmt (Operators)'!$D$20=""),"",D56/'Summary Op Stmt (Operators)'!$D$20)</f>
        <v/>
      </c>
      <c r="F56" s="33">
        <f>F8+F26+F55</f>
        <v>0</v>
      </c>
      <c r="G56" s="34" t="str">
        <f>IF(OR('Summary Op Stmt (Operators)'!$F$20=0,'Summary Op Stmt (Operators)'!$F$20=""),"",F56/'Summary Op Stmt (Operators)'!$F$20)</f>
        <v/>
      </c>
      <c r="H56" s="33">
        <f>H8+H26+H55</f>
        <v>0</v>
      </c>
      <c r="I56" s="34" t="str">
        <f>IF(OR('Summary Op Stmt (Operators)'!$H$20=0,'Summary Op Stmt (Operators)'!$H$20=""),"",H56/'Summary Op Stmt (Operators)'!$H$20)</f>
        <v/>
      </c>
      <c r="J56" s="33">
        <f>J8+J26+J55</f>
        <v>0</v>
      </c>
      <c r="K56" s="34" t="str">
        <f>IF(OR('Summary Op Stmt (Operators)'!$J$20=0,'Summary Op Stmt (Operators)'!$J$20=""),"",J56/'Summary Op Stmt (Operators)'!$J$20)</f>
        <v/>
      </c>
      <c r="L56" s="33">
        <f>L8+L26+L55</f>
        <v>0</v>
      </c>
      <c r="M56" s="34" t="str">
        <f>IF(OR('Summary Op Stmt (Operators)'!$L$20=0,'Summary Op Stmt (Operators)'!$L$20=""),"",L56/'Summary Op Stmt (Operators)'!$L$20)</f>
        <v/>
      </c>
    </row>
    <row r="57" spans="1:13" x14ac:dyDescent="0.2">
      <c r="A57" s="25" t="s">
        <v>479</v>
      </c>
      <c r="B57" s="26"/>
      <c r="C57" s="31" t="str">
        <f>IF(OR('Summary Op Stmt (Operators)'!$B$20=0,'Summary Op Stmt (Operators)'!$B$20=""),"",B57/'Summary Op Stmt (Operators)'!$B$20)</f>
        <v/>
      </c>
      <c r="D57" s="26"/>
      <c r="E57" s="31" t="str">
        <f>IF(OR('Summary Op Stmt (Operators)'!$D$20=0,'Summary Op Stmt (Operators)'!$D$20=""),"",D57/'Summary Op Stmt (Operators)'!$D$20)</f>
        <v/>
      </c>
      <c r="F57" s="26"/>
      <c r="G57" s="31" t="str">
        <f>IF(OR('Summary Op Stmt (Operators)'!$F$20=0,'Summary Op Stmt (Operators)'!$F$20=""),"",F57/'Summary Op Stmt (Operators)'!$F$20)</f>
        <v/>
      </c>
      <c r="H57" s="26"/>
      <c r="I57" s="31" t="str">
        <f>IF(OR('Summary Op Stmt (Operators)'!$H$20=0,'Summary Op Stmt (Operators)'!$H$20=""),"",H57/'Summary Op Stmt (Operators)'!$H$20)</f>
        <v/>
      </c>
      <c r="J57" s="26"/>
      <c r="K57" s="31" t="str">
        <f>IF(OR('Summary Op Stmt (Operators)'!$J$20=0,'Summary Op Stmt (Operators)'!$J$20=""),"",J57/'Summary Op Stmt (Operators)'!$J$20)</f>
        <v/>
      </c>
      <c r="L57" s="26"/>
      <c r="M57" s="31" t="str">
        <f>IF(OR('Summary Op Stmt (Operators)'!$L$20=0,'Summary Op Stmt (Operators)'!$L$20=""),"",L57/'Summary Op Stmt (Operators)'!$L$20)</f>
        <v/>
      </c>
    </row>
    <row r="58" spans="1:13" x14ac:dyDescent="0.2">
      <c r="A58" s="32" t="s">
        <v>480</v>
      </c>
      <c r="B58" s="33">
        <f>B56-B57</f>
        <v>0</v>
      </c>
      <c r="C58" s="34" t="str">
        <f>IF(OR('Summary Op Stmt (Operators)'!$B$20=0,'Summary Op Stmt (Operators)'!$B$20=""),"",B58/'Summary Op Stmt (Operators)'!$B$20)</f>
        <v/>
      </c>
      <c r="D58" s="33">
        <f>D56-D57</f>
        <v>0</v>
      </c>
      <c r="E58" s="34" t="str">
        <f>IF(OR('Summary Op Stmt (Operators)'!$D$20=0,'Summary Op Stmt (Operators)'!$D$20=""),"",D58/'Summary Op Stmt (Operators)'!$D$20)</f>
        <v/>
      </c>
      <c r="F58" s="33">
        <f>F56-F57</f>
        <v>0</v>
      </c>
      <c r="G58" s="34" t="str">
        <f>IF(OR('Summary Op Stmt (Operators)'!$F$20=0,'Summary Op Stmt (Operators)'!$F$20=""),"",F58/'Summary Op Stmt (Operators)'!$F$20)</f>
        <v/>
      </c>
      <c r="H58" s="33">
        <f>H56-H57</f>
        <v>0</v>
      </c>
      <c r="I58" s="34" t="str">
        <f>IF(OR('Summary Op Stmt (Operators)'!$H$20=0,'Summary Op Stmt (Operators)'!$H$20=""),"",H58/'Summary Op Stmt (Operators)'!$H$20)</f>
        <v/>
      </c>
      <c r="J58" s="33">
        <f>J56-J57</f>
        <v>0</v>
      </c>
      <c r="K58" s="34" t="str">
        <f>IF(OR('Summary Op Stmt (Operators)'!$J$20=0,'Summary Op Stmt (Operators)'!$J$20=""),"",J58/'Summary Op Stmt (Operators)'!$J$20)</f>
        <v/>
      </c>
      <c r="L58" s="33">
        <f>L56-L57</f>
        <v>0</v>
      </c>
      <c r="M58" s="34" t="str">
        <f>IF(OR('Summary Op Stmt (Operators)'!$L$20=0,'Summary Op Stmt (Operators)'!$L$20=""),"",L58/'Summary Op Stmt (Operators)'!$L$20)</f>
        <v/>
      </c>
    </row>
    <row r="59" spans="1:13" x14ac:dyDescent="0.2">
      <c r="A59" s="23" t="s">
        <v>469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 x14ac:dyDescent="0.2">
      <c r="A60" s="25" t="s">
        <v>470</v>
      </c>
      <c r="B60" s="26"/>
      <c r="C60" s="31" t="str">
        <f>IF(OR('Summary Op Stmt (Operators)'!$B$20=0,'Summary Op Stmt (Operators)'!$B$20=""),"",B60/'Summary Op Stmt (Operators)'!$B$20)</f>
        <v/>
      </c>
      <c r="D60" s="26"/>
      <c r="E60" s="31" t="str">
        <f>IF(OR('Summary Op Stmt (Operators)'!$D$20=0,'Summary Op Stmt (Operators)'!$D$20=""),"",D60/'Summary Op Stmt (Operators)'!$D$20)</f>
        <v/>
      </c>
      <c r="F60" s="26"/>
      <c r="G60" s="31" t="str">
        <f>IF(OR('Summary Op Stmt (Operators)'!$F$20=0,'Summary Op Stmt (Operators)'!$F$20=""),"",F60/'Summary Op Stmt (Operators)'!$F$20)</f>
        <v/>
      </c>
      <c r="H60" s="26"/>
      <c r="I60" s="31" t="str">
        <f>IF(OR('Summary Op Stmt (Operators)'!$H$20=0,'Summary Op Stmt (Operators)'!$H$20=""),"",H60/'Summary Op Stmt (Operators)'!$H$20)</f>
        <v/>
      </c>
      <c r="J60" s="26"/>
      <c r="K60" s="31" t="str">
        <f>IF(OR('Summary Op Stmt (Operators)'!$J$20=0,'Summary Op Stmt (Operators)'!$J$20=""),"",J60/'Summary Op Stmt (Operators)'!$J$20)</f>
        <v/>
      </c>
      <c r="L60" s="26"/>
      <c r="M60" s="31" t="str">
        <f>IF(OR('Summary Op Stmt (Operators)'!$L$20=0,'Summary Op Stmt (Operators)'!$L$20=""),"",L60/'Summary Op Stmt (Operators)'!$L$20)</f>
        <v/>
      </c>
    </row>
    <row r="61" spans="1:13" x14ac:dyDescent="0.2">
      <c r="A61" s="25" t="s">
        <v>471</v>
      </c>
      <c r="B61" s="26"/>
      <c r="C61" s="31" t="str">
        <f>IF(OR('Summary Op Stmt (Operators)'!$B$20=0,'Summary Op Stmt (Operators)'!$B$20=""),"",B61/'Summary Op Stmt (Operators)'!$B$20)</f>
        <v/>
      </c>
      <c r="D61" s="26"/>
      <c r="E61" s="31" t="str">
        <f>IF(OR('Summary Op Stmt (Operators)'!$D$20=0,'Summary Op Stmt (Operators)'!$D$20=""),"",D61/'Summary Op Stmt (Operators)'!$D$20)</f>
        <v/>
      </c>
      <c r="F61" s="26"/>
      <c r="G61" s="31" t="str">
        <f>IF(OR('Summary Op Stmt (Operators)'!$F$20=0,'Summary Op Stmt (Operators)'!$F$20=""),"",F61/'Summary Op Stmt (Operators)'!$F$20)</f>
        <v/>
      </c>
      <c r="H61" s="26"/>
      <c r="I61" s="31" t="str">
        <f>IF(OR('Summary Op Stmt (Operators)'!$H$20=0,'Summary Op Stmt (Operators)'!$H$20=""),"",H61/'Summary Op Stmt (Operators)'!$H$20)</f>
        <v/>
      </c>
      <c r="J61" s="26"/>
      <c r="K61" s="31" t="str">
        <f>IF(OR('Summary Op Stmt (Operators)'!$J$20=0,'Summary Op Stmt (Operators)'!$J$20=""),"",J61/'Summary Op Stmt (Operators)'!$J$20)</f>
        <v/>
      </c>
      <c r="L61" s="26"/>
      <c r="M61" s="31" t="str">
        <f>IF(OR('Summary Op Stmt (Operators)'!$L$20=0,'Summary Op Stmt (Operators)'!$L$20=""),"",L61/'Summary Op Stmt (Operators)'!$L$20)</f>
        <v/>
      </c>
    </row>
    <row r="62" spans="1:13" x14ac:dyDescent="0.2">
      <c r="A62" s="25" t="s">
        <v>472</v>
      </c>
      <c r="B62" s="26"/>
      <c r="C62" s="31" t="str">
        <f>IF(OR('Summary Op Stmt (Operators)'!$B$20=0,'Summary Op Stmt (Operators)'!$B$20=""),"",B62/'Summary Op Stmt (Operators)'!$B$20)</f>
        <v/>
      </c>
      <c r="D62" s="26"/>
      <c r="E62" s="31" t="str">
        <f>IF(OR('Summary Op Stmt (Operators)'!$D$20=0,'Summary Op Stmt (Operators)'!$D$20=""),"",D62/'Summary Op Stmt (Operators)'!$D$20)</f>
        <v/>
      </c>
      <c r="F62" s="26"/>
      <c r="G62" s="31" t="str">
        <f>IF(OR('Summary Op Stmt (Operators)'!$F$20=0,'Summary Op Stmt (Operators)'!$F$20=""),"",F62/'Summary Op Stmt (Operators)'!$F$20)</f>
        <v/>
      </c>
      <c r="H62" s="26"/>
      <c r="I62" s="31" t="str">
        <f>IF(OR('Summary Op Stmt (Operators)'!$H$20=0,'Summary Op Stmt (Operators)'!$H$20=""),"",H62/'Summary Op Stmt (Operators)'!$H$20)</f>
        <v/>
      </c>
      <c r="J62" s="26"/>
      <c r="K62" s="31" t="str">
        <f>IF(OR('Summary Op Stmt (Operators)'!$J$20=0,'Summary Op Stmt (Operators)'!$J$20=""),"",J62/'Summary Op Stmt (Operators)'!$J$20)</f>
        <v/>
      </c>
      <c r="L62" s="26"/>
      <c r="M62" s="31" t="str">
        <f>IF(OR('Summary Op Stmt (Operators)'!$L$20=0,'Summary Op Stmt (Operators)'!$L$20=""),"",L62/'Summary Op Stmt (Operators)'!$L$20)</f>
        <v/>
      </c>
    </row>
    <row r="63" spans="1:13" x14ac:dyDescent="0.2">
      <c r="A63" s="25" t="s">
        <v>473</v>
      </c>
      <c r="B63" s="26"/>
      <c r="C63" s="31" t="str">
        <f>IF(OR('Summary Op Stmt (Operators)'!$B$20=0,'Summary Op Stmt (Operators)'!$B$20=""),"",B63/'Summary Op Stmt (Operators)'!$B$20)</f>
        <v/>
      </c>
      <c r="D63" s="26"/>
      <c r="E63" s="31" t="str">
        <f>IF(OR('Summary Op Stmt (Operators)'!$D$20=0,'Summary Op Stmt (Operators)'!$D$20=""),"",D63/'Summary Op Stmt (Operators)'!$D$20)</f>
        <v/>
      </c>
      <c r="F63" s="26"/>
      <c r="G63" s="31" t="str">
        <f>IF(OR('Summary Op Stmt (Operators)'!$F$20=0,'Summary Op Stmt (Operators)'!$F$20=""),"",F63/'Summary Op Stmt (Operators)'!$F$20)</f>
        <v/>
      </c>
      <c r="H63" s="26"/>
      <c r="I63" s="31" t="str">
        <f>IF(OR('Summary Op Stmt (Operators)'!$H$20=0,'Summary Op Stmt (Operators)'!$H$20=""),"",H63/'Summary Op Stmt (Operators)'!$H$20)</f>
        <v/>
      </c>
      <c r="J63" s="26"/>
      <c r="K63" s="31" t="str">
        <f>IF(OR('Summary Op Stmt (Operators)'!$J$20=0,'Summary Op Stmt (Operators)'!$J$20=""),"",J63/'Summary Op Stmt (Operators)'!$J$20)</f>
        <v/>
      </c>
      <c r="L63" s="26"/>
      <c r="M63" s="31" t="str">
        <f>IF(OR('Summary Op Stmt (Operators)'!$L$20=0,'Summary Op Stmt (Operators)'!$L$20=""),"",L63/'Summary Op Stmt (Operators)'!$L$20)</f>
        <v/>
      </c>
    </row>
    <row r="64" spans="1:13" x14ac:dyDescent="0.2">
      <c r="A64" s="25" t="s">
        <v>474</v>
      </c>
      <c r="B64" s="26"/>
      <c r="C64" s="31" t="str">
        <f>IF(OR('Summary Op Stmt (Operators)'!$B$20=0,'Summary Op Stmt (Operators)'!$B$20=""),"",B64/'Summary Op Stmt (Operators)'!$B$20)</f>
        <v/>
      </c>
      <c r="D64" s="26"/>
      <c r="E64" s="31" t="str">
        <f>IF(OR('Summary Op Stmt (Operators)'!$D$20=0,'Summary Op Stmt (Operators)'!$D$20=""),"",D64/'Summary Op Stmt (Operators)'!$D$20)</f>
        <v/>
      </c>
      <c r="F64" s="26"/>
      <c r="G64" s="31" t="str">
        <f>IF(OR('Summary Op Stmt (Operators)'!$F$20=0,'Summary Op Stmt (Operators)'!$F$20=""),"",F64/'Summary Op Stmt (Operators)'!$F$20)</f>
        <v/>
      </c>
      <c r="H64" s="26"/>
      <c r="I64" s="31" t="str">
        <f>IF(OR('Summary Op Stmt (Operators)'!$H$20=0,'Summary Op Stmt (Operators)'!$H$20=""),"",H64/'Summary Op Stmt (Operators)'!$H$20)</f>
        <v/>
      </c>
      <c r="J64" s="26"/>
      <c r="K64" s="31" t="str">
        <f>IF(OR('Summary Op Stmt (Operators)'!$J$20=0,'Summary Op Stmt (Operators)'!$J$20=""),"",J64/'Summary Op Stmt (Operators)'!$J$20)</f>
        <v/>
      </c>
      <c r="L64" s="26"/>
      <c r="M64" s="31" t="str">
        <f>IF(OR('Summary Op Stmt (Operators)'!$L$20=0,'Summary Op Stmt (Operators)'!$L$20=""),"",L64/'Summary Op Stmt (Operators)'!$L$20)</f>
        <v/>
      </c>
    </row>
    <row r="65" spans="1:13" x14ac:dyDescent="0.2">
      <c r="A65" s="35" t="s">
        <v>475</v>
      </c>
      <c r="B65" s="36">
        <f>B60+B61+B62+B63+B64</f>
        <v>0</v>
      </c>
      <c r="C65" s="37" t="str">
        <f>IF(OR('Summary Op Stmt (Operators)'!$B$20=0,'Summary Op Stmt (Operators)'!$B$20=""),"",B65/'Summary Op Stmt (Operators)'!$B$20)</f>
        <v/>
      </c>
      <c r="D65" s="36">
        <f>D60+D61+D62+D63+D64</f>
        <v>0</v>
      </c>
      <c r="E65" s="37" t="str">
        <f>IF(OR('Summary Op Stmt (Operators)'!$D$20=0,'Summary Op Stmt (Operators)'!$D$20=""),"",D65/'Summary Op Stmt (Operators)'!$D$20)</f>
        <v/>
      </c>
      <c r="F65" s="36">
        <f>F60+F61+F62+F63+F64</f>
        <v>0</v>
      </c>
      <c r="G65" s="37" t="str">
        <f>IF(OR('Summary Op Stmt (Operators)'!$F$20=0,'Summary Op Stmt (Operators)'!$F$20=""),"",F65/'Summary Op Stmt (Operators)'!$F$20)</f>
        <v/>
      </c>
      <c r="H65" s="36">
        <f>H60+H61+H62+H63+H64</f>
        <v>0</v>
      </c>
      <c r="I65" s="37" t="str">
        <f>IF(OR('Summary Op Stmt (Operators)'!$H$20=0,'Summary Op Stmt (Operators)'!$H$20=""),"",H65/'Summary Op Stmt (Operators)'!$H$20)</f>
        <v/>
      </c>
      <c r="J65" s="36">
        <f>J60+J61+J62+J63+J64</f>
        <v>0</v>
      </c>
      <c r="K65" s="37" t="str">
        <f>IF(OR('Summary Op Stmt (Operators)'!$J$20=0,'Summary Op Stmt (Operators)'!$J$20=""),"",J65/'Summary Op Stmt (Operators)'!$J$20)</f>
        <v/>
      </c>
      <c r="L65" s="36">
        <f>L60+L61+L62+L63+L64</f>
        <v>0</v>
      </c>
      <c r="M65" s="37" t="str">
        <f>IF(OR('Summary Op Stmt (Operators)'!$L$20=0,'Summary Op Stmt (Operators)'!$L$20=""),"",L65/'Summary Op Stmt (Operators)'!$L$20)</f>
        <v/>
      </c>
    </row>
    <row r="66" spans="1:13" x14ac:dyDescent="0.2">
      <c r="A66" s="38" t="s">
        <v>476</v>
      </c>
      <c r="B66" s="39">
        <f>B65-B58</f>
        <v>0</v>
      </c>
      <c r="C66" s="40" t="str">
        <f>IF(OR('Summary Op Stmt (Operators)'!$B$20=0,'Summary Op Stmt (Operators)'!$B$20=""),"",B66/'Summary Op Stmt (Operators)'!$B$20)</f>
        <v/>
      </c>
      <c r="D66" s="39">
        <f>D65-D58</f>
        <v>0</v>
      </c>
      <c r="E66" s="40" t="str">
        <f>IF(OR('Summary Op Stmt (Operators)'!$D$20=0,'Summary Op Stmt (Operators)'!$D$20=""),"",D66/'Summary Op Stmt (Operators)'!$D$20)</f>
        <v/>
      </c>
      <c r="F66" s="39">
        <f>F65-F58</f>
        <v>0</v>
      </c>
      <c r="G66" s="40" t="str">
        <f>IF(OR('Summary Op Stmt (Operators)'!$F$20=0,'Summary Op Stmt (Operators)'!$F$20=""),"",F66/'Summary Op Stmt (Operators)'!$F$20)</f>
        <v/>
      </c>
      <c r="H66" s="39">
        <f>H65-H58</f>
        <v>0</v>
      </c>
      <c r="I66" s="40" t="str">
        <f>IF(OR('Summary Op Stmt (Operators)'!$H$20=0,'Summary Op Stmt (Operators)'!$H$20=""),"",H66/'Summary Op Stmt (Operators)'!$H$20)</f>
        <v/>
      </c>
      <c r="J66" s="39">
        <f>J65-J58</f>
        <v>0</v>
      </c>
      <c r="K66" s="40" t="str">
        <f>IF(OR('Summary Op Stmt (Operators)'!$J$20=0,'Summary Op Stmt (Operators)'!$J$20=""),"",J66/'Summary Op Stmt (Operators)'!$J$20)</f>
        <v/>
      </c>
      <c r="L66" s="39">
        <f>L65-L58</f>
        <v>0</v>
      </c>
      <c r="M66" s="40" t="str">
        <f>IF(OR('Summary Op Stmt (Operators)'!$L$20=0,'Summary Op Stmt (Operators)'!$L$20=""),"",L66/'Summary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F3864"/>
  </sheetPr>
  <dimension ref="A1:M48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481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482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483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484</v>
      </c>
      <c r="B8" s="26"/>
      <c r="C8" s="31" t="str">
        <f>IF(OR('Summary Op Stmt (Operators)'!$B$20=0,'Summary Op Stmt (Operators)'!$B$20=""),"",B8/'Summary Op Stmt (Operators)'!$B$20)</f>
        <v/>
      </c>
      <c r="D8" s="26"/>
      <c r="E8" s="31" t="str">
        <f>IF(OR('Summary Op Stmt (Operators)'!$D$20=0,'Summary Op Stmt (Operators)'!$D$20=""),"",D8/'Summary Op Stmt (Operators)'!$D$20)</f>
        <v/>
      </c>
      <c r="F8" s="26"/>
      <c r="G8" s="31" t="str">
        <f>IF(OR('Summary Op Stmt (Operators)'!$F$20=0,'Summary Op Stmt (Operators)'!$F$20=""),"",F8/'Summary Op Stmt (Operators)'!$F$20)</f>
        <v/>
      </c>
      <c r="H8" s="26"/>
      <c r="I8" s="31" t="str">
        <f>IF(OR('Summary Op Stmt (Operators)'!$H$20=0,'Summary Op Stmt (Operators)'!$H$20=""),"",H8/'Summary Op Stmt (Operators)'!$H$20)</f>
        <v/>
      </c>
      <c r="J8" s="26"/>
      <c r="K8" s="31" t="str">
        <f>IF(OR('Summary Op Stmt (Operators)'!$J$20=0,'Summary Op Stmt (Operators)'!$J$20=""),"",J8/'Summary Op Stmt (Operators)'!$J$20)</f>
        <v/>
      </c>
      <c r="L8" s="26"/>
      <c r="M8" s="31" t="str">
        <f>IF(OR('Summary Op Stmt (Operators)'!$L$20=0,'Summary Op Stmt (Operators)'!$L$20=""),"",L8/'Summary Op Stmt (Operators)'!$L$20)</f>
        <v/>
      </c>
    </row>
    <row r="9" spans="1:13" x14ac:dyDescent="0.2">
      <c r="A9" s="25" t="s">
        <v>485</v>
      </c>
      <c r="B9" s="26"/>
      <c r="C9" s="31" t="str">
        <f>IF(OR('Summary Op Stmt (Operators)'!$B$20=0,'Summary Op Stmt (Operators)'!$B$20=""),"",B9/'Summary Op Stmt (Operators)'!$B$20)</f>
        <v/>
      </c>
      <c r="D9" s="26"/>
      <c r="E9" s="31" t="str">
        <f>IF(OR('Summary Op Stmt (Operators)'!$D$20=0,'Summary Op Stmt (Operators)'!$D$20=""),"",D9/'Summary Op Stmt (Operators)'!$D$20)</f>
        <v/>
      </c>
      <c r="F9" s="26"/>
      <c r="G9" s="31" t="str">
        <f>IF(OR('Summary Op Stmt (Operators)'!$F$20=0,'Summary Op Stmt (Operators)'!$F$20=""),"",F9/'Summary Op Stmt (Operators)'!$F$20)</f>
        <v/>
      </c>
      <c r="H9" s="26"/>
      <c r="I9" s="31" t="str">
        <f>IF(OR('Summary Op Stmt (Operators)'!$H$20=0,'Summary Op Stmt (Operators)'!$H$20=""),"",H9/'Summary Op Stmt (Operators)'!$H$20)</f>
        <v/>
      </c>
      <c r="J9" s="26"/>
      <c r="K9" s="31" t="str">
        <f>IF(OR('Summary Op Stmt (Operators)'!$J$20=0,'Summary Op Stmt (Operators)'!$J$20=""),"",J9/'Summary Op Stmt (Operators)'!$J$20)</f>
        <v/>
      </c>
      <c r="L9" s="26"/>
      <c r="M9" s="31" t="str">
        <f>IF(OR('Summary Op Stmt (Operators)'!$L$20=0,'Summary Op Stmt (Operators)'!$L$20=""),"",L9/'Summary Op Stmt (Operators)'!$L$20)</f>
        <v/>
      </c>
    </row>
    <row r="10" spans="1:13" x14ac:dyDescent="0.2">
      <c r="A10" s="25" t="s">
        <v>486</v>
      </c>
      <c r="B10" s="26"/>
      <c r="C10" s="31" t="str">
        <f>IF(OR('Summary Op Stmt (Operators)'!$B$20=0,'Summary Op Stmt (Operators)'!$B$20=""),"",B10/'Summary Op Stmt (Operators)'!$B$20)</f>
        <v/>
      </c>
      <c r="D10" s="26"/>
      <c r="E10" s="31" t="str">
        <f>IF(OR('Summary Op Stmt (Operators)'!$D$20=0,'Summary Op Stmt (Operators)'!$D$20=""),"",D10/'Summary Op Stmt (Operators)'!$D$20)</f>
        <v/>
      </c>
      <c r="F10" s="26"/>
      <c r="G10" s="31" t="str">
        <f>IF(OR('Summary Op Stmt (Operators)'!$F$20=0,'Summary Op Stmt (Operators)'!$F$20=""),"",F10/'Summary Op Stmt (Operators)'!$F$20)</f>
        <v/>
      </c>
      <c r="H10" s="26"/>
      <c r="I10" s="31" t="str">
        <f>IF(OR('Summary Op Stmt (Operators)'!$H$20=0,'Summary Op Stmt (Operators)'!$H$20=""),"",H10/'Summary Op Stmt (Operators)'!$H$20)</f>
        <v/>
      </c>
      <c r="J10" s="26"/>
      <c r="K10" s="31" t="str">
        <f>IF(OR('Summary Op Stmt (Operators)'!$J$20=0,'Summary Op Stmt (Operators)'!$J$20=""),"",J10/'Summary Op Stmt (Operators)'!$J$20)</f>
        <v/>
      </c>
      <c r="L10" s="26"/>
      <c r="M10" s="31" t="str">
        <f>IF(OR('Summary Op Stmt (Operators)'!$L$20=0,'Summary Op Stmt (Operators)'!$L$20=""),"",L10/'Summary Op Stmt (Operators)'!$L$20)</f>
        <v/>
      </c>
    </row>
    <row r="11" spans="1:13" x14ac:dyDescent="0.2">
      <c r="A11" s="25" t="s">
        <v>487</v>
      </c>
      <c r="B11" s="26"/>
      <c r="C11" s="31" t="str">
        <f>IF(OR('Summary Op Stmt (Operators)'!$B$20=0,'Summary Op Stmt (Operators)'!$B$20=""),"",B11/'Summary Op Stmt (Operators)'!$B$20)</f>
        <v/>
      </c>
      <c r="D11" s="26"/>
      <c r="E11" s="31" t="str">
        <f>IF(OR('Summary Op Stmt (Operators)'!$D$20=0,'Summary Op Stmt (Operators)'!$D$20=""),"",D11/'Summary Op Stmt (Operators)'!$D$20)</f>
        <v/>
      </c>
      <c r="F11" s="26"/>
      <c r="G11" s="31" t="str">
        <f>IF(OR('Summary Op Stmt (Operators)'!$F$20=0,'Summary Op Stmt (Operators)'!$F$20=""),"",F11/'Summary Op Stmt (Operators)'!$F$20)</f>
        <v/>
      </c>
      <c r="H11" s="26"/>
      <c r="I11" s="31" t="str">
        <f>IF(OR('Summary Op Stmt (Operators)'!$H$20=0,'Summary Op Stmt (Operators)'!$H$20=""),"",H11/'Summary Op Stmt (Operators)'!$H$20)</f>
        <v/>
      </c>
      <c r="J11" s="26"/>
      <c r="K11" s="31" t="str">
        <f>IF(OR('Summary Op Stmt (Operators)'!$J$20=0,'Summary Op Stmt (Operators)'!$J$20=""),"",J11/'Summary Op Stmt (Operators)'!$J$20)</f>
        <v/>
      </c>
      <c r="L11" s="26"/>
      <c r="M11" s="31" t="str">
        <f>IF(OR('Summary Op Stmt (Operators)'!$L$20=0,'Summary Op Stmt (Operators)'!$L$20=""),"",L11/'Summary Op Stmt (Operators)'!$L$20)</f>
        <v/>
      </c>
    </row>
    <row r="12" spans="1:13" x14ac:dyDescent="0.2">
      <c r="A12" s="25" t="s">
        <v>488</v>
      </c>
      <c r="B12" s="26"/>
      <c r="C12" s="31" t="str">
        <f>IF(OR('Summary Op Stmt (Operators)'!$B$20=0,'Summary Op Stmt (Operators)'!$B$20=""),"",B12/'Summary Op Stmt (Operators)'!$B$20)</f>
        <v/>
      </c>
      <c r="D12" s="26"/>
      <c r="E12" s="31" t="str">
        <f>IF(OR('Summary Op Stmt (Operators)'!$D$20=0,'Summary Op Stmt (Operators)'!$D$20=""),"",D12/'Summary Op Stmt (Operators)'!$D$20)</f>
        <v/>
      </c>
      <c r="F12" s="26"/>
      <c r="G12" s="31" t="str">
        <f>IF(OR('Summary Op Stmt (Operators)'!$F$20=0,'Summary Op Stmt (Operators)'!$F$20=""),"",F12/'Summary Op Stmt (Operators)'!$F$20)</f>
        <v/>
      </c>
      <c r="H12" s="26"/>
      <c r="I12" s="31" t="str">
        <f>IF(OR('Summary Op Stmt (Operators)'!$H$20=0,'Summary Op Stmt (Operators)'!$H$20=""),"",H12/'Summary Op Stmt (Operators)'!$H$20)</f>
        <v/>
      </c>
      <c r="J12" s="26"/>
      <c r="K12" s="31" t="str">
        <f>IF(OR('Summary Op Stmt (Operators)'!$J$20=0,'Summary Op Stmt (Operators)'!$J$20=""),"",J12/'Summary Op Stmt (Operators)'!$J$20)</f>
        <v/>
      </c>
      <c r="L12" s="26"/>
      <c r="M12" s="31" t="str">
        <f>IF(OR('Summary Op Stmt (Operators)'!$L$20=0,'Summary Op Stmt (Operators)'!$L$20=""),"",L12/'Summary Op Stmt (Operators)'!$L$20)</f>
        <v/>
      </c>
    </row>
    <row r="13" spans="1:13" x14ac:dyDescent="0.2">
      <c r="A13" s="25" t="s">
        <v>489</v>
      </c>
      <c r="B13" s="26"/>
      <c r="C13" s="31" t="str">
        <f>IF(OR('Summary Op Stmt (Operators)'!$B$20=0,'Summary Op Stmt (Operators)'!$B$20=""),"",B13/'Summary Op Stmt (Operators)'!$B$20)</f>
        <v/>
      </c>
      <c r="D13" s="26"/>
      <c r="E13" s="31" t="str">
        <f>IF(OR('Summary Op Stmt (Operators)'!$D$20=0,'Summary Op Stmt (Operators)'!$D$20=""),"",D13/'Summary Op Stmt (Operators)'!$D$20)</f>
        <v/>
      </c>
      <c r="F13" s="26"/>
      <c r="G13" s="31" t="str">
        <f>IF(OR('Summary Op Stmt (Operators)'!$F$20=0,'Summary Op Stmt (Operators)'!$F$20=""),"",F13/'Summary Op Stmt (Operators)'!$F$20)</f>
        <v/>
      </c>
      <c r="H13" s="26"/>
      <c r="I13" s="31" t="str">
        <f>IF(OR('Summary Op Stmt (Operators)'!$H$20=0,'Summary Op Stmt (Operators)'!$H$20=""),"",H13/'Summary Op Stmt (Operators)'!$H$20)</f>
        <v/>
      </c>
      <c r="J13" s="26"/>
      <c r="K13" s="31" t="str">
        <f>IF(OR('Summary Op Stmt (Operators)'!$J$20=0,'Summary Op Stmt (Operators)'!$J$20=""),"",J13/'Summary Op Stmt (Operators)'!$J$20)</f>
        <v/>
      </c>
      <c r="L13" s="26"/>
      <c r="M13" s="31" t="str">
        <f>IF(OR('Summary Op Stmt (Operators)'!$L$20=0,'Summary Op Stmt (Operators)'!$L$20=""),"",L13/'Summary Op Stmt (Operators)'!$L$20)</f>
        <v/>
      </c>
    </row>
    <row r="14" spans="1:13" x14ac:dyDescent="0.2">
      <c r="A14" s="25" t="s">
        <v>490</v>
      </c>
      <c r="B14" s="26"/>
      <c r="C14" s="31" t="str">
        <f>IF(OR('Summary Op Stmt (Operators)'!$B$20=0,'Summary Op Stmt (Operators)'!$B$20=""),"",B14/'Summary Op Stmt (Operators)'!$B$20)</f>
        <v/>
      </c>
      <c r="D14" s="26"/>
      <c r="E14" s="31" t="str">
        <f>IF(OR('Summary Op Stmt (Operators)'!$D$20=0,'Summary Op Stmt (Operators)'!$D$20=""),"",D14/'Summary Op Stmt (Operators)'!$D$20)</f>
        <v/>
      </c>
      <c r="F14" s="26"/>
      <c r="G14" s="31" t="str">
        <f>IF(OR('Summary Op Stmt (Operators)'!$F$20=0,'Summary Op Stmt (Operators)'!$F$20=""),"",F14/'Summary Op Stmt (Operators)'!$F$20)</f>
        <v/>
      </c>
      <c r="H14" s="26"/>
      <c r="I14" s="31" t="str">
        <f>IF(OR('Summary Op Stmt (Operators)'!$H$20=0,'Summary Op Stmt (Operators)'!$H$20=""),"",H14/'Summary Op Stmt (Operators)'!$H$20)</f>
        <v/>
      </c>
      <c r="J14" s="26"/>
      <c r="K14" s="31" t="str">
        <f>IF(OR('Summary Op Stmt (Operators)'!$J$20=0,'Summary Op Stmt (Operators)'!$J$20=""),"",J14/'Summary Op Stmt (Operators)'!$J$20)</f>
        <v/>
      </c>
      <c r="L14" s="26"/>
      <c r="M14" s="31" t="str">
        <f>IF(OR('Summary Op Stmt (Operators)'!$L$20=0,'Summary Op Stmt (Operators)'!$L$20=""),"",L14/'Summary Op Stmt (Operators)'!$L$20)</f>
        <v/>
      </c>
    </row>
    <row r="15" spans="1:13" x14ac:dyDescent="0.2">
      <c r="A15" s="25" t="s">
        <v>491</v>
      </c>
      <c r="B15" s="26"/>
      <c r="C15" s="31" t="str">
        <f>IF(OR('Summary Op Stmt (Operators)'!$B$20=0,'Summary Op Stmt (Operators)'!$B$20=""),"",B15/'Summary Op Stmt (Operators)'!$B$20)</f>
        <v/>
      </c>
      <c r="D15" s="26"/>
      <c r="E15" s="31" t="str">
        <f>IF(OR('Summary Op Stmt (Operators)'!$D$20=0,'Summary Op Stmt (Operators)'!$D$20=""),"",D15/'Summary Op Stmt (Operators)'!$D$20)</f>
        <v/>
      </c>
      <c r="F15" s="26"/>
      <c r="G15" s="31" t="str">
        <f>IF(OR('Summary Op Stmt (Operators)'!$F$20=0,'Summary Op Stmt (Operators)'!$F$20=""),"",F15/'Summary Op Stmt (Operators)'!$F$20)</f>
        <v/>
      </c>
      <c r="H15" s="26"/>
      <c r="I15" s="31" t="str">
        <f>IF(OR('Summary Op Stmt (Operators)'!$H$20=0,'Summary Op Stmt (Operators)'!$H$20=""),"",H15/'Summary Op Stmt (Operators)'!$H$20)</f>
        <v/>
      </c>
      <c r="J15" s="26"/>
      <c r="K15" s="31" t="str">
        <f>IF(OR('Summary Op Stmt (Operators)'!$J$20=0,'Summary Op Stmt (Operators)'!$J$20=""),"",J15/'Summary Op Stmt (Operators)'!$J$20)</f>
        <v/>
      </c>
      <c r="L15" s="26"/>
      <c r="M15" s="31" t="str">
        <f>IF(OR('Summary Op Stmt (Operators)'!$L$20=0,'Summary Op Stmt (Operators)'!$L$20=""),"",L15/'Summary Op Stmt (Operators)'!$L$20)</f>
        <v/>
      </c>
    </row>
    <row r="16" spans="1:13" x14ac:dyDescent="0.2">
      <c r="A16" s="35" t="s">
        <v>492</v>
      </c>
      <c r="B16" s="36">
        <f>B8+B9+B10+B11+B12+B13+B14+B15</f>
        <v>0</v>
      </c>
      <c r="C16" s="37" t="str">
        <f>IF(OR('Summary Op Stmt (Operators)'!$B$20=0,'Summary Op Stmt (Operators)'!$B$20=""),"",B16/'Summary Op Stmt (Operators)'!$B$20)</f>
        <v/>
      </c>
      <c r="D16" s="36">
        <f>D8+D9+D10+D11+D12+D13+D14+D15</f>
        <v>0</v>
      </c>
      <c r="E16" s="37" t="str">
        <f>IF(OR('Summary Op Stmt (Operators)'!$D$20=0,'Summary Op Stmt (Operators)'!$D$20=""),"",D16/'Summary Op Stmt (Operators)'!$D$20)</f>
        <v/>
      </c>
      <c r="F16" s="36">
        <f>F8+F9+F10+F11+F12+F13+F14+F15</f>
        <v>0</v>
      </c>
      <c r="G16" s="37" t="str">
        <f>IF(OR('Summary Op Stmt (Operators)'!$F$20=0,'Summary Op Stmt (Operators)'!$F$20=""),"",F16/'Summary Op Stmt (Operators)'!$F$20)</f>
        <v/>
      </c>
      <c r="H16" s="36">
        <f>H8+H9+H10+H11+H12+H13+H14+H15</f>
        <v>0</v>
      </c>
      <c r="I16" s="37" t="str">
        <f>IF(OR('Summary Op Stmt (Operators)'!$H$20=0,'Summary Op Stmt (Operators)'!$H$20=""),"",H16/'Summary Op Stmt (Operators)'!$H$20)</f>
        <v/>
      </c>
      <c r="J16" s="36">
        <f>J8+J9+J10+J11+J12+J13+J14+J15</f>
        <v>0</v>
      </c>
      <c r="K16" s="37" t="str">
        <f>IF(OR('Summary Op Stmt (Operators)'!$J$20=0,'Summary Op Stmt (Operators)'!$J$20=""),"",J16/'Summary Op Stmt (Operators)'!$J$20)</f>
        <v/>
      </c>
      <c r="L16" s="36">
        <f>L8+L9+L10+L11+L12+L13+L14+L15</f>
        <v>0</v>
      </c>
      <c r="M16" s="37" t="str">
        <f>IF(OR('Summary Op Stmt (Operators)'!$L$20=0,'Summary Op Stmt (Operators)'!$L$20=""),"",L16/'Summary Op Stmt (Operators)'!$L$20)</f>
        <v/>
      </c>
    </row>
    <row r="17" spans="1:13" x14ac:dyDescent="0.2">
      <c r="A17" s="23" t="s">
        <v>493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2">
      <c r="A18" s="25" t="s">
        <v>494</v>
      </c>
      <c r="B18" s="26"/>
      <c r="C18" s="31" t="str">
        <f>IF(OR('Summary Op Stmt (Operators)'!$B$20=0,'Summary Op Stmt (Operators)'!$B$20=""),"",B18/'Summary Op Stmt (Operators)'!$B$20)</f>
        <v/>
      </c>
      <c r="D18" s="26"/>
      <c r="E18" s="31" t="str">
        <f>IF(OR('Summary Op Stmt (Operators)'!$D$20=0,'Summary Op Stmt (Operators)'!$D$20=""),"",D18/'Summary Op Stmt (Operators)'!$D$20)</f>
        <v/>
      </c>
      <c r="F18" s="26"/>
      <c r="G18" s="31" t="str">
        <f>IF(OR('Summary Op Stmt (Operators)'!$F$20=0,'Summary Op Stmt (Operators)'!$F$20=""),"",F18/'Summary Op Stmt (Operators)'!$F$20)</f>
        <v/>
      </c>
      <c r="H18" s="26"/>
      <c r="I18" s="31" t="str">
        <f>IF(OR('Summary Op Stmt (Operators)'!$H$20=0,'Summary Op Stmt (Operators)'!$H$20=""),"",H18/'Summary Op Stmt (Operators)'!$H$20)</f>
        <v/>
      </c>
      <c r="J18" s="26"/>
      <c r="K18" s="31" t="str">
        <f>IF(OR('Summary Op Stmt (Operators)'!$J$20=0,'Summary Op Stmt (Operators)'!$J$20=""),"",J18/'Summary Op Stmt (Operators)'!$J$20)</f>
        <v/>
      </c>
      <c r="L18" s="26"/>
      <c r="M18" s="31" t="str">
        <f>IF(OR('Summary Op Stmt (Operators)'!$L$20=0,'Summary Op Stmt (Operators)'!$L$20=""),"",L18/'Summary Op Stmt (Operators)'!$L$20)</f>
        <v/>
      </c>
    </row>
    <row r="19" spans="1:13" x14ac:dyDescent="0.2">
      <c r="A19" s="25" t="s">
        <v>495</v>
      </c>
      <c r="B19" s="26"/>
      <c r="C19" s="31" t="str">
        <f>IF(OR('Summary Op Stmt (Operators)'!$B$20=0,'Summary Op Stmt (Operators)'!$B$20=""),"",B19/'Summary Op Stmt (Operators)'!$B$20)</f>
        <v/>
      </c>
      <c r="D19" s="26"/>
      <c r="E19" s="31" t="str">
        <f>IF(OR('Summary Op Stmt (Operators)'!$D$20=0,'Summary Op Stmt (Operators)'!$D$20=""),"",D19/'Summary Op Stmt (Operators)'!$D$20)</f>
        <v/>
      </c>
      <c r="F19" s="26"/>
      <c r="G19" s="31" t="str">
        <f>IF(OR('Summary Op Stmt (Operators)'!$F$20=0,'Summary Op Stmt (Operators)'!$F$20=""),"",F19/'Summary Op Stmt (Operators)'!$F$20)</f>
        <v/>
      </c>
      <c r="H19" s="26"/>
      <c r="I19" s="31" t="str">
        <f>IF(OR('Summary Op Stmt (Operators)'!$H$20=0,'Summary Op Stmt (Operators)'!$H$20=""),"",H19/'Summary Op Stmt (Operators)'!$H$20)</f>
        <v/>
      </c>
      <c r="J19" s="26"/>
      <c r="K19" s="31" t="str">
        <f>IF(OR('Summary Op Stmt (Operators)'!$J$20=0,'Summary Op Stmt (Operators)'!$J$20=""),"",J19/'Summary Op Stmt (Operators)'!$J$20)</f>
        <v/>
      </c>
      <c r="L19" s="26"/>
      <c r="M19" s="31" t="str">
        <f>IF(OR('Summary Op Stmt (Operators)'!$L$20=0,'Summary Op Stmt (Operators)'!$L$20=""),"",L19/'Summary Op Stmt (Operators)'!$L$20)</f>
        <v/>
      </c>
    </row>
    <row r="20" spans="1:13" x14ac:dyDescent="0.2">
      <c r="A20" s="25" t="s">
        <v>496</v>
      </c>
      <c r="B20" s="26"/>
      <c r="C20" s="31" t="str">
        <f>IF(OR('Summary Op Stmt (Operators)'!$B$20=0,'Summary Op Stmt (Operators)'!$B$20=""),"",B20/'Summary Op Stmt (Operators)'!$B$20)</f>
        <v/>
      </c>
      <c r="D20" s="26"/>
      <c r="E20" s="31" t="str">
        <f>IF(OR('Summary Op Stmt (Operators)'!$D$20=0,'Summary Op Stmt (Operators)'!$D$20=""),"",D20/'Summary Op Stmt (Operators)'!$D$20)</f>
        <v/>
      </c>
      <c r="F20" s="26"/>
      <c r="G20" s="31" t="str">
        <f>IF(OR('Summary Op Stmt (Operators)'!$F$20=0,'Summary Op Stmt (Operators)'!$F$20=""),"",F20/'Summary Op Stmt (Operators)'!$F$20)</f>
        <v/>
      </c>
      <c r="H20" s="26"/>
      <c r="I20" s="31" t="str">
        <f>IF(OR('Summary Op Stmt (Operators)'!$H$20=0,'Summary Op Stmt (Operators)'!$H$20=""),"",H20/'Summary Op Stmt (Operators)'!$H$20)</f>
        <v/>
      </c>
      <c r="J20" s="26"/>
      <c r="K20" s="31" t="str">
        <f>IF(OR('Summary Op Stmt (Operators)'!$J$20=0,'Summary Op Stmt (Operators)'!$J$20=""),"",J20/'Summary Op Stmt (Operators)'!$J$20)</f>
        <v/>
      </c>
      <c r="L20" s="26"/>
      <c r="M20" s="31" t="str">
        <f>IF(OR('Summary Op Stmt (Operators)'!$L$20=0,'Summary Op Stmt (Operators)'!$L$20=""),"",L20/'Summary Op Stmt (Operators)'!$L$20)</f>
        <v/>
      </c>
    </row>
    <row r="21" spans="1:13" x14ac:dyDescent="0.2">
      <c r="A21" s="25" t="s">
        <v>497</v>
      </c>
      <c r="B21" s="26"/>
      <c r="C21" s="31" t="str">
        <f>IF(OR('Summary Op Stmt (Operators)'!$B$20=0,'Summary Op Stmt (Operators)'!$B$20=""),"",B21/'Summary Op Stmt (Operators)'!$B$20)</f>
        <v/>
      </c>
      <c r="D21" s="26"/>
      <c r="E21" s="31" t="str">
        <f>IF(OR('Summary Op Stmt (Operators)'!$D$20=0,'Summary Op Stmt (Operators)'!$D$20=""),"",D21/'Summary Op Stmt (Operators)'!$D$20)</f>
        <v/>
      </c>
      <c r="F21" s="26"/>
      <c r="G21" s="31" t="str">
        <f>IF(OR('Summary Op Stmt (Operators)'!$F$20=0,'Summary Op Stmt (Operators)'!$F$20=""),"",F21/'Summary Op Stmt (Operators)'!$F$20)</f>
        <v/>
      </c>
      <c r="H21" s="26"/>
      <c r="I21" s="31" t="str">
        <f>IF(OR('Summary Op Stmt (Operators)'!$H$20=0,'Summary Op Stmt (Operators)'!$H$20=""),"",H21/'Summary Op Stmt (Operators)'!$H$20)</f>
        <v/>
      </c>
      <c r="J21" s="26"/>
      <c r="K21" s="31" t="str">
        <f>IF(OR('Summary Op Stmt (Operators)'!$J$20=0,'Summary Op Stmt (Operators)'!$J$20=""),"",J21/'Summary Op Stmt (Operators)'!$J$20)</f>
        <v/>
      </c>
      <c r="L21" s="26"/>
      <c r="M21" s="31" t="str">
        <f>IF(OR('Summary Op Stmt (Operators)'!$L$20=0,'Summary Op Stmt (Operators)'!$L$20=""),"",L21/'Summary Op Stmt (Operators)'!$L$20)</f>
        <v/>
      </c>
    </row>
    <row r="22" spans="1:13" x14ac:dyDescent="0.2">
      <c r="A22" s="25" t="s">
        <v>498</v>
      </c>
      <c r="B22" s="26"/>
      <c r="C22" s="31" t="str">
        <f>IF(OR('Summary Op Stmt (Operators)'!$B$20=0,'Summary Op Stmt (Operators)'!$B$20=""),"",B22/'Summary Op Stmt (Operators)'!$B$20)</f>
        <v/>
      </c>
      <c r="D22" s="26"/>
      <c r="E22" s="31" t="str">
        <f>IF(OR('Summary Op Stmt (Operators)'!$D$20=0,'Summary Op Stmt (Operators)'!$D$20=""),"",D22/'Summary Op Stmt (Operators)'!$D$20)</f>
        <v/>
      </c>
      <c r="F22" s="26"/>
      <c r="G22" s="31" t="str">
        <f>IF(OR('Summary Op Stmt (Operators)'!$F$20=0,'Summary Op Stmt (Operators)'!$F$20=""),"",F22/'Summary Op Stmt (Operators)'!$F$20)</f>
        <v/>
      </c>
      <c r="H22" s="26"/>
      <c r="I22" s="31" t="str">
        <f>IF(OR('Summary Op Stmt (Operators)'!$H$20=0,'Summary Op Stmt (Operators)'!$H$20=""),"",H22/'Summary Op Stmt (Operators)'!$H$20)</f>
        <v/>
      </c>
      <c r="J22" s="26"/>
      <c r="K22" s="31" t="str">
        <f>IF(OR('Summary Op Stmt (Operators)'!$J$20=0,'Summary Op Stmt (Operators)'!$J$20=""),"",J22/'Summary Op Stmt (Operators)'!$J$20)</f>
        <v/>
      </c>
      <c r="L22" s="26"/>
      <c r="M22" s="31" t="str">
        <f>IF(OR('Summary Op Stmt (Operators)'!$L$20=0,'Summary Op Stmt (Operators)'!$L$20=""),"",L22/'Summary Op Stmt (Operators)'!$L$20)</f>
        <v/>
      </c>
    </row>
    <row r="23" spans="1:13" x14ac:dyDescent="0.2">
      <c r="A23" s="25" t="s">
        <v>499</v>
      </c>
      <c r="B23" s="26"/>
      <c r="C23" s="31" t="str">
        <f>IF(OR('Summary Op Stmt (Operators)'!$B$20=0,'Summary Op Stmt (Operators)'!$B$20=""),"",B23/'Summary Op Stmt (Operators)'!$B$20)</f>
        <v/>
      </c>
      <c r="D23" s="26"/>
      <c r="E23" s="31" t="str">
        <f>IF(OR('Summary Op Stmt (Operators)'!$D$20=0,'Summary Op Stmt (Operators)'!$D$20=""),"",D23/'Summary Op Stmt (Operators)'!$D$20)</f>
        <v/>
      </c>
      <c r="F23" s="26"/>
      <c r="G23" s="31" t="str">
        <f>IF(OR('Summary Op Stmt (Operators)'!$F$20=0,'Summary Op Stmt (Operators)'!$F$20=""),"",F23/'Summary Op Stmt (Operators)'!$F$20)</f>
        <v/>
      </c>
      <c r="H23" s="26"/>
      <c r="I23" s="31" t="str">
        <f>IF(OR('Summary Op Stmt (Operators)'!$H$20=0,'Summary Op Stmt (Operators)'!$H$20=""),"",H23/'Summary Op Stmt (Operators)'!$H$20)</f>
        <v/>
      </c>
      <c r="J23" s="26"/>
      <c r="K23" s="31" t="str">
        <f>IF(OR('Summary Op Stmt (Operators)'!$J$20=0,'Summary Op Stmt (Operators)'!$J$20=""),"",J23/'Summary Op Stmt (Operators)'!$J$20)</f>
        <v/>
      </c>
      <c r="L23" s="26"/>
      <c r="M23" s="31" t="str">
        <f>IF(OR('Summary Op Stmt (Operators)'!$L$20=0,'Summary Op Stmt (Operators)'!$L$20=""),"",L23/'Summary Op Stmt (Operators)'!$L$20)</f>
        <v/>
      </c>
    </row>
    <row r="24" spans="1:13" x14ac:dyDescent="0.2">
      <c r="A24" s="35" t="s">
        <v>500</v>
      </c>
      <c r="B24" s="36">
        <f>B18+B19+B20+B21+B22+B23</f>
        <v>0</v>
      </c>
      <c r="C24" s="37" t="str">
        <f>IF(OR('Summary Op Stmt (Operators)'!$B$20=0,'Summary Op Stmt (Operators)'!$B$20=""),"",B24/'Summary Op Stmt (Operators)'!$B$20)</f>
        <v/>
      </c>
      <c r="D24" s="36">
        <f>D18+D19+D20+D21+D22+D23</f>
        <v>0</v>
      </c>
      <c r="E24" s="37" t="str">
        <f>IF(OR('Summary Op Stmt (Operators)'!$D$20=0,'Summary Op Stmt (Operators)'!$D$20=""),"",D24/'Summary Op Stmt (Operators)'!$D$20)</f>
        <v/>
      </c>
      <c r="F24" s="36">
        <f>F18+F19+F20+F21+F22+F23</f>
        <v>0</v>
      </c>
      <c r="G24" s="37" t="str">
        <f>IF(OR('Summary Op Stmt (Operators)'!$F$20=0,'Summary Op Stmt (Operators)'!$F$20=""),"",F24/'Summary Op Stmt (Operators)'!$F$20)</f>
        <v/>
      </c>
      <c r="H24" s="36">
        <f>H18+H19+H20+H21+H22+H23</f>
        <v>0</v>
      </c>
      <c r="I24" s="37" t="str">
        <f>IF(OR('Summary Op Stmt (Operators)'!$H$20=0,'Summary Op Stmt (Operators)'!$H$20=""),"",H24/'Summary Op Stmt (Operators)'!$H$20)</f>
        <v/>
      </c>
      <c r="J24" s="36">
        <f>J18+J19+J20+J21+J22+J23</f>
        <v>0</v>
      </c>
      <c r="K24" s="37" t="str">
        <f>IF(OR('Summary Op Stmt (Operators)'!$J$20=0,'Summary Op Stmt (Operators)'!$J$20=""),"",J24/'Summary Op Stmt (Operators)'!$J$20)</f>
        <v/>
      </c>
      <c r="L24" s="36">
        <f>L18+L19+L20+L21+L22+L23</f>
        <v>0</v>
      </c>
      <c r="M24" s="37" t="str">
        <f>IF(OR('Summary Op Stmt (Operators)'!$L$20=0,'Summary Op Stmt (Operators)'!$L$20=""),"",L24/'Summary Op Stmt (Operators)'!$L$20)</f>
        <v/>
      </c>
    </row>
    <row r="25" spans="1:13" x14ac:dyDescent="0.2">
      <c r="A25" s="23" t="s">
        <v>501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13" x14ac:dyDescent="0.2">
      <c r="A26" s="25" t="s">
        <v>502</v>
      </c>
      <c r="B26" s="26"/>
      <c r="C26" s="31" t="str">
        <f>IF(OR('Summary Op Stmt (Operators)'!$B$20=0,'Summary Op Stmt (Operators)'!$B$20=""),"",B26/'Summary Op Stmt (Operators)'!$B$20)</f>
        <v/>
      </c>
      <c r="D26" s="26"/>
      <c r="E26" s="31" t="str">
        <f>IF(OR('Summary Op Stmt (Operators)'!$D$20=0,'Summary Op Stmt (Operators)'!$D$20=""),"",D26/'Summary Op Stmt (Operators)'!$D$20)</f>
        <v/>
      </c>
      <c r="F26" s="26"/>
      <c r="G26" s="31" t="str">
        <f>IF(OR('Summary Op Stmt (Operators)'!$F$20=0,'Summary Op Stmt (Operators)'!$F$20=""),"",F26/'Summary Op Stmt (Operators)'!$F$20)</f>
        <v/>
      </c>
      <c r="H26" s="26"/>
      <c r="I26" s="31" t="str">
        <f>IF(OR('Summary Op Stmt (Operators)'!$H$20=0,'Summary Op Stmt (Operators)'!$H$20=""),"",H26/'Summary Op Stmt (Operators)'!$H$20)</f>
        <v/>
      </c>
      <c r="J26" s="26"/>
      <c r="K26" s="31" t="str">
        <f>IF(OR('Summary Op Stmt (Operators)'!$J$20=0,'Summary Op Stmt (Operators)'!$J$20=""),"",J26/'Summary Op Stmt (Operators)'!$J$20)</f>
        <v/>
      </c>
      <c r="L26" s="26"/>
      <c r="M26" s="31" t="str">
        <f>IF(OR('Summary Op Stmt (Operators)'!$L$20=0,'Summary Op Stmt (Operators)'!$L$20=""),"",L26/'Summary Op Stmt (Operators)'!$L$20)</f>
        <v/>
      </c>
    </row>
    <row r="27" spans="1:13" x14ac:dyDescent="0.2">
      <c r="A27" s="25" t="s">
        <v>503</v>
      </c>
      <c r="B27" s="26"/>
      <c r="C27" s="31" t="str">
        <f>IF(OR('Summary Op Stmt (Operators)'!$B$20=0,'Summary Op Stmt (Operators)'!$B$20=""),"",B27/'Summary Op Stmt (Operators)'!$B$20)</f>
        <v/>
      </c>
      <c r="D27" s="26"/>
      <c r="E27" s="31" t="str">
        <f>IF(OR('Summary Op Stmt (Operators)'!$D$20=0,'Summary Op Stmt (Operators)'!$D$20=""),"",D27/'Summary Op Stmt (Operators)'!$D$20)</f>
        <v/>
      </c>
      <c r="F27" s="26"/>
      <c r="G27" s="31" t="str">
        <f>IF(OR('Summary Op Stmt (Operators)'!$F$20=0,'Summary Op Stmt (Operators)'!$F$20=""),"",F27/'Summary Op Stmt (Operators)'!$F$20)</f>
        <v/>
      </c>
      <c r="H27" s="26"/>
      <c r="I27" s="31" t="str">
        <f>IF(OR('Summary Op Stmt (Operators)'!$H$20=0,'Summary Op Stmt (Operators)'!$H$20=""),"",H27/'Summary Op Stmt (Operators)'!$H$20)</f>
        <v/>
      </c>
      <c r="J27" s="26"/>
      <c r="K27" s="31" t="str">
        <f>IF(OR('Summary Op Stmt (Operators)'!$J$20=0,'Summary Op Stmt (Operators)'!$J$20=""),"",J27/'Summary Op Stmt (Operators)'!$J$20)</f>
        <v/>
      </c>
      <c r="L27" s="26"/>
      <c r="M27" s="31" t="str">
        <f>IF(OR('Summary Op Stmt (Operators)'!$L$20=0,'Summary Op Stmt (Operators)'!$L$20=""),"",L27/'Summary Op Stmt (Operators)'!$L$20)</f>
        <v/>
      </c>
    </row>
    <row r="28" spans="1:13" x14ac:dyDescent="0.2">
      <c r="A28" s="25" t="s">
        <v>504</v>
      </c>
      <c r="B28" s="26"/>
      <c r="C28" s="31" t="str">
        <f>IF(OR('Summary Op Stmt (Operators)'!$B$20=0,'Summary Op Stmt (Operators)'!$B$20=""),"",B28/'Summary Op Stmt (Operators)'!$B$20)</f>
        <v/>
      </c>
      <c r="D28" s="26"/>
      <c r="E28" s="31" t="str">
        <f>IF(OR('Summary Op Stmt (Operators)'!$D$20=0,'Summary Op Stmt (Operators)'!$D$20=""),"",D28/'Summary Op Stmt (Operators)'!$D$20)</f>
        <v/>
      </c>
      <c r="F28" s="26"/>
      <c r="G28" s="31" t="str">
        <f>IF(OR('Summary Op Stmt (Operators)'!$F$20=0,'Summary Op Stmt (Operators)'!$F$20=""),"",F28/'Summary Op Stmt (Operators)'!$F$20)</f>
        <v/>
      </c>
      <c r="H28" s="26"/>
      <c r="I28" s="31" t="str">
        <f>IF(OR('Summary Op Stmt (Operators)'!$H$20=0,'Summary Op Stmt (Operators)'!$H$20=""),"",H28/'Summary Op Stmt (Operators)'!$H$20)</f>
        <v/>
      </c>
      <c r="J28" s="26"/>
      <c r="K28" s="31" t="str">
        <f>IF(OR('Summary Op Stmt (Operators)'!$J$20=0,'Summary Op Stmt (Operators)'!$J$20=""),"",J28/'Summary Op Stmt (Operators)'!$J$20)</f>
        <v/>
      </c>
      <c r="L28" s="26"/>
      <c r="M28" s="31" t="str">
        <f>IF(OR('Summary Op Stmt (Operators)'!$L$20=0,'Summary Op Stmt (Operators)'!$L$20=""),"",L28/'Summary Op Stmt (Operators)'!$L$20)</f>
        <v/>
      </c>
    </row>
    <row r="29" spans="1:13" x14ac:dyDescent="0.2">
      <c r="A29" s="25" t="s">
        <v>505</v>
      </c>
      <c r="B29" s="26"/>
      <c r="C29" s="31" t="str">
        <f>IF(OR('Summary Op Stmt (Operators)'!$B$20=0,'Summary Op Stmt (Operators)'!$B$20=""),"",B29/'Summary Op Stmt (Operators)'!$B$20)</f>
        <v/>
      </c>
      <c r="D29" s="26"/>
      <c r="E29" s="31" t="str">
        <f>IF(OR('Summary Op Stmt (Operators)'!$D$20=0,'Summary Op Stmt (Operators)'!$D$20=""),"",D29/'Summary Op Stmt (Operators)'!$D$20)</f>
        <v/>
      </c>
      <c r="F29" s="26"/>
      <c r="G29" s="31" t="str">
        <f>IF(OR('Summary Op Stmt (Operators)'!$F$20=0,'Summary Op Stmt (Operators)'!$F$20=""),"",F29/'Summary Op Stmt (Operators)'!$F$20)</f>
        <v/>
      </c>
      <c r="H29" s="26"/>
      <c r="I29" s="31" t="str">
        <f>IF(OR('Summary Op Stmt (Operators)'!$H$20=0,'Summary Op Stmt (Operators)'!$H$20=""),"",H29/'Summary Op Stmt (Operators)'!$H$20)</f>
        <v/>
      </c>
      <c r="J29" s="26"/>
      <c r="K29" s="31" t="str">
        <f>IF(OR('Summary Op Stmt (Operators)'!$J$20=0,'Summary Op Stmt (Operators)'!$J$20=""),"",J29/'Summary Op Stmt (Operators)'!$J$20)</f>
        <v/>
      </c>
      <c r="L29" s="26"/>
      <c r="M29" s="31" t="str">
        <f>IF(OR('Summary Op Stmt (Operators)'!$L$20=0,'Summary Op Stmt (Operators)'!$L$20=""),"",L29/'Summary Op Stmt (Operators)'!$L$20)</f>
        <v/>
      </c>
    </row>
    <row r="30" spans="1:13" x14ac:dyDescent="0.2">
      <c r="A30" s="25" t="s">
        <v>506</v>
      </c>
      <c r="B30" s="26"/>
      <c r="C30" s="31" t="str">
        <f>IF(OR('Summary Op Stmt (Operators)'!$B$20=0,'Summary Op Stmt (Operators)'!$B$20=""),"",B30/'Summary Op Stmt (Operators)'!$B$20)</f>
        <v/>
      </c>
      <c r="D30" s="26"/>
      <c r="E30" s="31" t="str">
        <f>IF(OR('Summary Op Stmt (Operators)'!$D$20=0,'Summary Op Stmt (Operators)'!$D$20=""),"",D30/'Summary Op Stmt (Operators)'!$D$20)</f>
        <v/>
      </c>
      <c r="F30" s="26"/>
      <c r="G30" s="31" t="str">
        <f>IF(OR('Summary Op Stmt (Operators)'!$F$20=0,'Summary Op Stmt (Operators)'!$F$20=""),"",F30/'Summary Op Stmt (Operators)'!$F$20)</f>
        <v/>
      </c>
      <c r="H30" s="26"/>
      <c r="I30" s="31" t="str">
        <f>IF(OR('Summary Op Stmt (Operators)'!$H$20=0,'Summary Op Stmt (Operators)'!$H$20=""),"",H30/'Summary Op Stmt (Operators)'!$H$20)</f>
        <v/>
      </c>
      <c r="J30" s="26"/>
      <c r="K30" s="31" t="str">
        <f>IF(OR('Summary Op Stmt (Operators)'!$J$20=0,'Summary Op Stmt (Operators)'!$J$20=""),"",J30/'Summary Op Stmt (Operators)'!$J$20)</f>
        <v/>
      </c>
      <c r="L30" s="26"/>
      <c r="M30" s="31" t="str">
        <f>IF(OR('Summary Op Stmt (Operators)'!$L$20=0,'Summary Op Stmt (Operators)'!$L$20=""),"",L30/'Summary Op Stmt (Operators)'!$L$20)</f>
        <v/>
      </c>
    </row>
    <row r="31" spans="1:13" x14ac:dyDescent="0.2">
      <c r="A31" s="25" t="s">
        <v>507</v>
      </c>
      <c r="B31" s="26"/>
      <c r="C31" s="31" t="str">
        <f>IF(OR('Summary Op Stmt (Operators)'!$B$20=0,'Summary Op Stmt (Operators)'!$B$20=""),"",B31/'Summary Op Stmt (Operators)'!$B$20)</f>
        <v/>
      </c>
      <c r="D31" s="26"/>
      <c r="E31" s="31" t="str">
        <f>IF(OR('Summary Op Stmt (Operators)'!$D$20=0,'Summary Op Stmt (Operators)'!$D$20=""),"",D31/'Summary Op Stmt (Operators)'!$D$20)</f>
        <v/>
      </c>
      <c r="F31" s="26"/>
      <c r="G31" s="31" t="str">
        <f>IF(OR('Summary Op Stmt (Operators)'!$F$20=0,'Summary Op Stmt (Operators)'!$F$20=""),"",F31/'Summary Op Stmt (Operators)'!$F$20)</f>
        <v/>
      </c>
      <c r="H31" s="26"/>
      <c r="I31" s="31" t="str">
        <f>IF(OR('Summary Op Stmt (Operators)'!$H$20=0,'Summary Op Stmt (Operators)'!$H$20=""),"",H31/'Summary Op Stmt (Operators)'!$H$20)</f>
        <v/>
      </c>
      <c r="J31" s="26"/>
      <c r="K31" s="31" t="str">
        <f>IF(OR('Summary Op Stmt (Operators)'!$J$20=0,'Summary Op Stmt (Operators)'!$J$20=""),"",J31/'Summary Op Stmt (Operators)'!$J$20)</f>
        <v/>
      </c>
      <c r="L31" s="26"/>
      <c r="M31" s="31" t="str">
        <f>IF(OR('Summary Op Stmt (Operators)'!$L$20=0,'Summary Op Stmt (Operators)'!$L$20=""),"",L31/'Summary Op Stmt (Operators)'!$L$20)</f>
        <v/>
      </c>
    </row>
    <row r="32" spans="1:13" x14ac:dyDescent="0.2">
      <c r="A32" s="25" t="s">
        <v>508</v>
      </c>
      <c r="B32" s="26"/>
      <c r="C32" s="31" t="str">
        <f>IF(OR('Summary Op Stmt (Operators)'!$B$20=0,'Summary Op Stmt (Operators)'!$B$20=""),"",B32/'Summary Op Stmt (Operators)'!$B$20)</f>
        <v/>
      </c>
      <c r="D32" s="26"/>
      <c r="E32" s="31" t="str">
        <f>IF(OR('Summary Op Stmt (Operators)'!$D$20=0,'Summary Op Stmt (Operators)'!$D$20=""),"",D32/'Summary Op Stmt (Operators)'!$D$20)</f>
        <v/>
      </c>
      <c r="F32" s="26"/>
      <c r="G32" s="31" t="str">
        <f>IF(OR('Summary Op Stmt (Operators)'!$F$20=0,'Summary Op Stmt (Operators)'!$F$20=""),"",F32/'Summary Op Stmt (Operators)'!$F$20)</f>
        <v/>
      </c>
      <c r="H32" s="26"/>
      <c r="I32" s="31" t="str">
        <f>IF(OR('Summary Op Stmt (Operators)'!$H$20=0,'Summary Op Stmt (Operators)'!$H$20=""),"",H32/'Summary Op Stmt (Operators)'!$H$20)</f>
        <v/>
      </c>
      <c r="J32" s="26"/>
      <c r="K32" s="31" t="str">
        <f>IF(OR('Summary Op Stmt (Operators)'!$J$20=0,'Summary Op Stmt (Operators)'!$J$20=""),"",J32/'Summary Op Stmt (Operators)'!$J$20)</f>
        <v/>
      </c>
      <c r="L32" s="26"/>
      <c r="M32" s="31" t="str">
        <f>IF(OR('Summary Op Stmt (Operators)'!$L$20=0,'Summary Op Stmt (Operators)'!$L$20=""),"",L32/'Summary Op Stmt (Operators)'!$L$20)</f>
        <v/>
      </c>
    </row>
    <row r="33" spans="1:13" x14ac:dyDescent="0.2">
      <c r="A33" s="25" t="s">
        <v>509</v>
      </c>
      <c r="B33" s="26"/>
      <c r="C33" s="31" t="str">
        <f>IF(OR('Summary Op Stmt (Operators)'!$B$20=0,'Summary Op Stmt (Operators)'!$B$20=""),"",B33/'Summary Op Stmt (Operators)'!$B$20)</f>
        <v/>
      </c>
      <c r="D33" s="26"/>
      <c r="E33" s="31" t="str">
        <f>IF(OR('Summary Op Stmt (Operators)'!$D$20=0,'Summary Op Stmt (Operators)'!$D$20=""),"",D33/'Summary Op Stmt (Operators)'!$D$20)</f>
        <v/>
      </c>
      <c r="F33" s="26"/>
      <c r="G33" s="31" t="str">
        <f>IF(OR('Summary Op Stmt (Operators)'!$F$20=0,'Summary Op Stmt (Operators)'!$F$20=""),"",F33/'Summary Op Stmt (Operators)'!$F$20)</f>
        <v/>
      </c>
      <c r="H33" s="26"/>
      <c r="I33" s="31" t="str">
        <f>IF(OR('Summary Op Stmt (Operators)'!$H$20=0,'Summary Op Stmt (Operators)'!$H$20=""),"",H33/'Summary Op Stmt (Operators)'!$H$20)</f>
        <v/>
      </c>
      <c r="J33" s="26"/>
      <c r="K33" s="31" t="str">
        <f>IF(OR('Summary Op Stmt (Operators)'!$J$20=0,'Summary Op Stmt (Operators)'!$J$20=""),"",J33/'Summary Op Stmt (Operators)'!$J$20)</f>
        <v/>
      </c>
      <c r="L33" s="26"/>
      <c r="M33" s="31" t="str">
        <f>IF(OR('Summary Op Stmt (Operators)'!$L$20=0,'Summary Op Stmt (Operators)'!$L$20=""),"",L33/'Summary Op Stmt (Operators)'!$L$20)</f>
        <v/>
      </c>
    </row>
    <row r="34" spans="1:13" x14ac:dyDescent="0.2">
      <c r="A34" s="25" t="s">
        <v>510</v>
      </c>
      <c r="B34" s="26"/>
      <c r="C34" s="31" t="str">
        <f>IF(OR('Summary Op Stmt (Operators)'!$B$20=0,'Summary Op Stmt (Operators)'!$B$20=""),"",B34/'Summary Op Stmt (Operators)'!$B$20)</f>
        <v/>
      </c>
      <c r="D34" s="26"/>
      <c r="E34" s="31" t="str">
        <f>IF(OR('Summary Op Stmt (Operators)'!$D$20=0,'Summary Op Stmt (Operators)'!$D$20=""),"",D34/'Summary Op Stmt (Operators)'!$D$20)</f>
        <v/>
      </c>
      <c r="F34" s="26"/>
      <c r="G34" s="31" t="str">
        <f>IF(OR('Summary Op Stmt (Operators)'!$F$20=0,'Summary Op Stmt (Operators)'!$F$20=""),"",F34/'Summary Op Stmt (Operators)'!$F$20)</f>
        <v/>
      </c>
      <c r="H34" s="26"/>
      <c r="I34" s="31" t="str">
        <f>IF(OR('Summary Op Stmt (Operators)'!$H$20=0,'Summary Op Stmt (Operators)'!$H$20=""),"",H34/'Summary Op Stmt (Operators)'!$H$20)</f>
        <v/>
      </c>
      <c r="J34" s="26"/>
      <c r="K34" s="31" t="str">
        <f>IF(OR('Summary Op Stmt (Operators)'!$J$20=0,'Summary Op Stmt (Operators)'!$J$20=""),"",J34/'Summary Op Stmt (Operators)'!$J$20)</f>
        <v/>
      </c>
      <c r="L34" s="26"/>
      <c r="M34" s="31" t="str">
        <f>IF(OR('Summary Op Stmt (Operators)'!$L$20=0,'Summary Op Stmt (Operators)'!$L$20=""),"",L34/'Summary Op Stmt (Operators)'!$L$20)</f>
        <v/>
      </c>
    </row>
    <row r="35" spans="1:13" x14ac:dyDescent="0.2">
      <c r="A35" s="25" t="s">
        <v>511</v>
      </c>
      <c r="B35" s="26"/>
      <c r="C35" s="31" t="str">
        <f>IF(OR('Summary Op Stmt (Operators)'!$B$20=0,'Summary Op Stmt (Operators)'!$B$20=""),"",B35/'Summary Op Stmt (Operators)'!$B$20)</f>
        <v/>
      </c>
      <c r="D35" s="26"/>
      <c r="E35" s="31" t="str">
        <f>IF(OR('Summary Op Stmt (Operators)'!$D$20=0,'Summary Op Stmt (Operators)'!$D$20=""),"",D35/'Summary Op Stmt (Operators)'!$D$20)</f>
        <v/>
      </c>
      <c r="F35" s="26"/>
      <c r="G35" s="31" t="str">
        <f>IF(OR('Summary Op Stmt (Operators)'!$F$20=0,'Summary Op Stmt (Operators)'!$F$20=""),"",F35/'Summary Op Stmt (Operators)'!$F$20)</f>
        <v/>
      </c>
      <c r="H35" s="26"/>
      <c r="I35" s="31" t="str">
        <f>IF(OR('Summary Op Stmt (Operators)'!$H$20=0,'Summary Op Stmt (Operators)'!$H$20=""),"",H35/'Summary Op Stmt (Operators)'!$H$20)</f>
        <v/>
      </c>
      <c r="J35" s="26"/>
      <c r="K35" s="31" t="str">
        <f>IF(OR('Summary Op Stmt (Operators)'!$J$20=0,'Summary Op Stmt (Operators)'!$J$20=""),"",J35/'Summary Op Stmt (Operators)'!$J$20)</f>
        <v/>
      </c>
      <c r="L35" s="26"/>
      <c r="M35" s="31" t="str">
        <f>IF(OR('Summary Op Stmt (Operators)'!$L$20=0,'Summary Op Stmt (Operators)'!$L$20=""),"",L35/'Summary Op Stmt (Operators)'!$L$20)</f>
        <v/>
      </c>
    </row>
    <row r="36" spans="1:13" x14ac:dyDescent="0.2">
      <c r="A36" s="25" t="s">
        <v>191</v>
      </c>
      <c r="B36" s="26"/>
      <c r="C36" s="31" t="str">
        <f>IF(OR('Summary Op Stmt (Operators)'!$B$20=0,'Summary Op Stmt (Operators)'!$B$20=""),"",B36/'Summary Op Stmt (Operators)'!$B$20)</f>
        <v/>
      </c>
      <c r="D36" s="26"/>
      <c r="E36" s="31" t="str">
        <f>IF(OR('Summary Op Stmt (Operators)'!$D$20=0,'Summary Op Stmt (Operators)'!$D$20=""),"",D36/'Summary Op Stmt (Operators)'!$D$20)</f>
        <v/>
      </c>
      <c r="F36" s="26"/>
      <c r="G36" s="31" t="str">
        <f>IF(OR('Summary Op Stmt (Operators)'!$F$20=0,'Summary Op Stmt (Operators)'!$F$20=""),"",F36/'Summary Op Stmt (Operators)'!$F$20)</f>
        <v/>
      </c>
      <c r="H36" s="26"/>
      <c r="I36" s="31" t="str">
        <f>IF(OR('Summary Op Stmt (Operators)'!$H$20=0,'Summary Op Stmt (Operators)'!$H$20=""),"",H36/'Summary Op Stmt (Operators)'!$H$20)</f>
        <v/>
      </c>
      <c r="J36" s="26"/>
      <c r="K36" s="31" t="str">
        <f>IF(OR('Summary Op Stmt (Operators)'!$J$20=0,'Summary Op Stmt (Operators)'!$J$20=""),"",J36/'Summary Op Stmt (Operators)'!$J$20)</f>
        <v/>
      </c>
      <c r="L36" s="26"/>
      <c r="M36" s="31" t="str">
        <f>IF(OR('Summary Op Stmt (Operators)'!$L$20=0,'Summary Op Stmt (Operators)'!$L$20=""),"",L36/'Summary Op Stmt (Operators)'!$L$20)</f>
        <v/>
      </c>
    </row>
    <row r="37" spans="1:13" x14ac:dyDescent="0.2">
      <c r="A37" s="25" t="s">
        <v>512</v>
      </c>
      <c r="B37" s="26"/>
      <c r="C37" s="31" t="str">
        <f>IF(OR('Summary Op Stmt (Operators)'!$B$20=0,'Summary Op Stmt (Operators)'!$B$20=""),"",B37/'Summary Op Stmt (Operators)'!$B$20)</f>
        <v/>
      </c>
      <c r="D37" s="26"/>
      <c r="E37" s="31" t="str">
        <f>IF(OR('Summary Op Stmt (Operators)'!$D$20=0,'Summary Op Stmt (Operators)'!$D$20=""),"",D37/'Summary Op Stmt (Operators)'!$D$20)</f>
        <v/>
      </c>
      <c r="F37" s="26"/>
      <c r="G37" s="31" t="str">
        <f>IF(OR('Summary Op Stmt (Operators)'!$F$20=0,'Summary Op Stmt (Operators)'!$F$20=""),"",F37/'Summary Op Stmt (Operators)'!$F$20)</f>
        <v/>
      </c>
      <c r="H37" s="26"/>
      <c r="I37" s="31" t="str">
        <f>IF(OR('Summary Op Stmt (Operators)'!$H$20=0,'Summary Op Stmt (Operators)'!$H$20=""),"",H37/'Summary Op Stmt (Operators)'!$H$20)</f>
        <v/>
      </c>
      <c r="J37" s="26"/>
      <c r="K37" s="31" t="str">
        <f>IF(OR('Summary Op Stmt (Operators)'!$J$20=0,'Summary Op Stmt (Operators)'!$J$20=""),"",J37/'Summary Op Stmt (Operators)'!$J$20)</f>
        <v/>
      </c>
      <c r="L37" s="26"/>
      <c r="M37" s="31" t="str">
        <f>IF(OR('Summary Op Stmt (Operators)'!$L$20=0,'Summary Op Stmt (Operators)'!$L$20=""),"",L37/'Summary Op Stmt (Operators)'!$L$20)</f>
        <v/>
      </c>
    </row>
    <row r="38" spans="1:13" x14ac:dyDescent="0.2">
      <c r="A38" s="25" t="s">
        <v>513</v>
      </c>
      <c r="B38" s="26"/>
      <c r="C38" s="31" t="str">
        <f>IF(OR('Summary Op Stmt (Operators)'!$B$20=0,'Summary Op Stmt (Operators)'!$B$20=""),"",B38/'Summary Op Stmt (Operators)'!$B$20)</f>
        <v/>
      </c>
      <c r="D38" s="26"/>
      <c r="E38" s="31" t="str">
        <f>IF(OR('Summary Op Stmt (Operators)'!$D$20=0,'Summary Op Stmt (Operators)'!$D$20=""),"",D38/'Summary Op Stmt (Operators)'!$D$20)</f>
        <v/>
      </c>
      <c r="F38" s="26"/>
      <c r="G38" s="31" t="str">
        <f>IF(OR('Summary Op Stmt (Operators)'!$F$20=0,'Summary Op Stmt (Operators)'!$F$20=""),"",F38/'Summary Op Stmt (Operators)'!$F$20)</f>
        <v/>
      </c>
      <c r="H38" s="26"/>
      <c r="I38" s="31" t="str">
        <f>IF(OR('Summary Op Stmt (Operators)'!$H$20=0,'Summary Op Stmt (Operators)'!$H$20=""),"",H38/'Summary Op Stmt (Operators)'!$H$20)</f>
        <v/>
      </c>
      <c r="J38" s="26"/>
      <c r="K38" s="31" t="str">
        <f>IF(OR('Summary Op Stmt (Operators)'!$J$20=0,'Summary Op Stmt (Operators)'!$J$20=""),"",J38/'Summary Op Stmt (Operators)'!$J$20)</f>
        <v/>
      </c>
      <c r="L38" s="26"/>
      <c r="M38" s="31" t="str">
        <f>IF(OR('Summary Op Stmt (Operators)'!$L$20=0,'Summary Op Stmt (Operators)'!$L$20=""),"",L38/'Summary Op Stmt (Operators)'!$L$20)</f>
        <v/>
      </c>
    </row>
    <row r="39" spans="1:13" x14ac:dyDescent="0.2">
      <c r="A39" s="25" t="s">
        <v>514</v>
      </c>
      <c r="B39" s="26"/>
      <c r="C39" s="31" t="str">
        <f>IF(OR('Summary Op Stmt (Operators)'!$B$20=0,'Summary Op Stmt (Operators)'!$B$20=""),"",B39/'Summary Op Stmt (Operators)'!$B$20)</f>
        <v/>
      </c>
      <c r="D39" s="26"/>
      <c r="E39" s="31" t="str">
        <f>IF(OR('Summary Op Stmt (Operators)'!$D$20=0,'Summary Op Stmt (Operators)'!$D$20=""),"",D39/'Summary Op Stmt (Operators)'!$D$20)</f>
        <v/>
      </c>
      <c r="F39" s="26"/>
      <c r="G39" s="31" t="str">
        <f>IF(OR('Summary Op Stmt (Operators)'!$F$20=0,'Summary Op Stmt (Operators)'!$F$20=""),"",F39/'Summary Op Stmt (Operators)'!$F$20)</f>
        <v/>
      </c>
      <c r="H39" s="26"/>
      <c r="I39" s="31" t="str">
        <f>IF(OR('Summary Op Stmt (Operators)'!$H$20=0,'Summary Op Stmt (Operators)'!$H$20=""),"",H39/'Summary Op Stmt (Operators)'!$H$20)</f>
        <v/>
      </c>
      <c r="J39" s="26"/>
      <c r="K39" s="31" t="str">
        <f>IF(OR('Summary Op Stmt (Operators)'!$J$20=0,'Summary Op Stmt (Operators)'!$J$20=""),"",J39/'Summary Op Stmt (Operators)'!$J$20)</f>
        <v/>
      </c>
      <c r="L39" s="26"/>
      <c r="M39" s="31" t="str">
        <f>IF(OR('Summary Op Stmt (Operators)'!$L$20=0,'Summary Op Stmt (Operators)'!$L$20=""),"",L39/'Summary Op Stmt (Operators)'!$L$20)</f>
        <v/>
      </c>
    </row>
    <row r="40" spans="1:13" x14ac:dyDescent="0.2">
      <c r="A40" s="25" t="s">
        <v>515</v>
      </c>
      <c r="B40" s="26"/>
      <c r="C40" s="31" t="str">
        <f>IF(OR('Summary Op Stmt (Operators)'!$B$20=0,'Summary Op Stmt (Operators)'!$B$20=""),"",B40/'Summary Op Stmt (Operators)'!$B$20)</f>
        <v/>
      </c>
      <c r="D40" s="26"/>
      <c r="E40" s="31" t="str">
        <f>IF(OR('Summary Op Stmt (Operators)'!$D$20=0,'Summary Op Stmt (Operators)'!$D$20=""),"",D40/'Summary Op Stmt (Operators)'!$D$20)</f>
        <v/>
      </c>
      <c r="F40" s="26"/>
      <c r="G40" s="31" t="str">
        <f>IF(OR('Summary Op Stmt (Operators)'!$F$20=0,'Summary Op Stmt (Operators)'!$F$20=""),"",F40/'Summary Op Stmt (Operators)'!$F$20)</f>
        <v/>
      </c>
      <c r="H40" s="26"/>
      <c r="I40" s="31" t="str">
        <f>IF(OR('Summary Op Stmt (Operators)'!$H$20=0,'Summary Op Stmt (Operators)'!$H$20=""),"",H40/'Summary Op Stmt (Operators)'!$H$20)</f>
        <v/>
      </c>
      <c r="J40" s="26"/>
      <c r="K40" s="31" t="str">
        <f>IF(OR('Summary Op Stmt (Operators)'!$J$20=0,'Summary Op Stmt (Operators)'!$J$20=""),"",J40/'Summary Op Stmt (Operators)'!$J$20)</f>
        <v/>
      </c>
      <c r="L40" s="26"/>
      <c r="M40" s="31" t="str">
        <f>IF(OR('Summary Op Stmt (Operators)'!$L$20=0,'Summary Op Stmt (Operators)'!$L$20=""),"",L40/'Summary Op Stmt (Operators)'!$L$20)</f>
        <v/>
      </c>
    </row>
    <row r="41" spans="1:13" x14ac:dyDescent="0.2">
      <c r="A41" s="25" t="s">
        <v>516</v>
      </c>
      <c r="B41" s="26"/>
      <c r="C41" s="31" t="str">
        <f>IF(OR('Summary Op Stmt (Operators)'!$B$20=0,'Summary Op Stmt (Operators)'!$B$20=""),"",B41/'Summary Op Stmt (Operators)'!$B$20)</f>
        <v/>
      </c>
      <c r="D41" s="26"/>
      <c r="E41" s="31" t="str">
        <f>IF(OR('Summary Op Stmt (Operators)'!$D$20=0,'Summary Op Stmt (Operators)'!$D$20=""),"",D41/'Summary Op Stmt (Operators)'!$D$20)</f>
        <v/>
      </c>
      <c r="F41" s="26"/>
      <c r="G41" s="31" t="str">
        <f>IF(OR('Summary Op Stmt (Operators)'!$F$20=0,'Summary Op Stmt (Operators)'!$F$20=""),"",F41/'Summary Op Stmt (Operators)'!$F$20)</f>
        <v/>
      </c>
      <c r="H41" s="26"/>
      <c r="I41" s="31" t="str">
        <f>IF(OR('Summary Op Stmt (Operators)'!$H$20=0,'Summary Op Stmt (Operators)'!$H$20=""),"",H41/'Summary Op Stmt (Operators)'!$H$20)</f>
        <v/>
      </c>
      <c r="J41" s="26"/>
      <c r="K41" s="31" t="str">
        <f>IF(OR('Summary Op Stmt (Operators)'!$J$20=0,'Summary Op Stmt (Operators)'!$J$20=""),"",J41/'Summary Op Stmt (Operators)'!$J$20)</f>
        <v/>
      </c>
      <c r="L41" s="26"/>
      <c r="M41" s="31" t="str">
        <f>IF(OR('Summary Op Stmt (Operators)'!$L$20=0,'Summary Op Stmt (Operators)'!$L$20=""),"",L41/'Summary Op Stmt (Operators)'!$L$20)</f>
        <v/>
      </c>
    </row>
    <row r="42" spans="1:13" x14ac:dyDescent="0.2">
      <c r="A42" s="25" t="s">
        <v>517</v>
      </c>
      <c r="B42" s="26"/>
      <c r="C42" s="31" t="str">
        <f>IF(OR('Summary Op Stmt (Operators)'!$B$20=0,'Summary Op Stmt (Operators)'!$B$20=""),"",B42/'Summary Op Stmt (Operators)'!$B$20)</f>
        <v/>
      </c>
      <c r="D42" s="26"/>
      <c r="E42" s="31" t="str">
        <f>IF(OR('Summary Op Stmt (Operators)'!$D$20=0,'Summary Op Stmt (Operators)'!$D$20=""),"",D42/'Summary Op Stmt (Operators)'!$D$20)</f>
        <v/>
      </c>
      <c r="F42" s="26"/>
      <c r="G42" s="31" t="str">
        <f>IF(OR('Summary Op Stmt (Operators)'!$F$20=0,'Summary Op Stmt (Operators)'!$F$20=""),"",F42/'Summary Op Stmt (Operators)'!$F$20)</f>
        <v/>
      </c>
      <c r="H42" s="26"/>
      <c r="I42" s="31" t="str">
        <f>IF(OR('Summary Op Stmt (Operators)'!$H$20=0,'Summary Op Stmt (Operators)'!$H$20=""),"",H42/'Summary Op Stmt (Operators)'!$H$20)</f>
        <v/>
      </c>
      <c r="J42" s="26"/>
      <c r="K42" s="31" t="str">
        <f>IF(OR('Summary Op Stmt (Operators)'!$J$20=0,'Summary Op Stmt (Operators)'!$J$20=""),"",J42/'Summary Op Stmt (Operators)'!$J$20)</f>
        <v/>
      </c>
      <c r="L42" s="26"/>
      <c r="M42" s="31" t="str">
        <f>IF(OR('Summary Op Stmt (Operators)'!$L$20=0,'Summary Op Stmt (Operators)'!$L$20=""),"",L42/'Summary Op Stmt (Operators)'!$L$20)</f>
        <v/>
      </c>
    </row>
    <row r="43" spans="1:13" x14ac:dyDescent="0.2">
      <c r="A43" s="25" t="s">
        <v>518</v>
      </c>
      <c r="B43" s="26"/>
      <c r="C43" s="31" t="str">
        <f>IF(OR('Summary Op Stmt (Operators)'!$B$20=0,'Summary Op Stmt (Operators)'!$B$20=""),"",B43/'Summary Op Stmt (Operators)'!$B$20)</f>
        <v/>
      </c>
      <c r="D43" s="26"/>
      <c r="E43" s="31" t="str">
        <f>IF(OR('Summary Op Stmt (Operators)'!$D$20=0,'Summary Op Stmt (Operators)'!$D$20=""),"",D43/'Summary Op Stmt (Operators)'!$D$20)</f>
        <v/>
      </c>
      <c r="F43" s="26"/>
      <c r="G43" s="31" t="str">
        <f>IF(OR('Summary Op Stmt (Operators)'!$F$20=0,'Summary Op Stmt (Operators)'!$F$20=""),"",F43/'Summary Op Stmt (Operators)'!$F$20)</f>
        <v/>
      </c>
      <c r="H43" s="26"/>
      <c r="I43" s="31" t="str">
        <f>IF(OR('Summary Op Stmt (Operators)'!$H$20=0,'Summary Op Stmt (Operators)'!$H$20=""),"",H43/'Summary Op Stmt (Operators)'!$H$20)</f>
        <v/>
      </c>
      <c r="J43" s="26"/>
      <c r="K43" s="31" t="str">
        <f>IF(OR('Summary Op Stmt (Operators)'!$J$20=0,'Summary Op Stmt (Operators)'!$J$20=""),"",J43/'Summary Op Stmt (Operators)'!$J$20)</f>
        <v/>
      </c>
      <c r="L43" s="26"/>
      <c r="M43" s="31" t="str">
        <f>IF(OR('Summary Op Stmt (Operators)'!$L$20=0,'Summary Op Stmt (Operators)'!$L$20=""),"",L43/'Summary Op Stmt (Operators)'!$L$20)</f>
        <v/>
      </c>
    </row>
    <row r="44" spans="1:13" x14ac:dyDescent="0.2">
      <c r="A44" s="25" t="s">
        <v>519</v>
      </c>
      <c r="B44" s="26"/>
      <c r="C44" s="31" t="str">
        <f>IF(OR('Summary Op Stmt (Operators)'!$B$20=0,'Summary Op Stmt (Operators)'!$B$20=""),"",B44/'Summary Op Stmt (Operators)'!$B$20)</f>
        <v/>
      </c>
      <c r="D44" s="26"/>
      <c r="E44" s="31" t="str">
        <f>IF(OR('Summary Op Stmt (Operators)'!$D$20=0,'Summary Op Stmt (Operators)'!$D$20=""),"",D44/'Summary Op Stmt (Operators)'!$D$20)</f>
        <v/>
      </c>
      <c r="F44" s="26"/>
      <c r="G44" s="31" t="str">
        <f>IF(OR('Summary Op Stmt (Operators)'!$F$20=0,'Summary Op Stmt (Operators)'!$F$20=""),"",F44/'Summary Op Stmt (Operators)'!$F$20)</f>
        <v/>
      </c>
      <c r="H44" s="26"/>
      <c r="I44" s="31" t="str">
        <f>IF(OR('Summary Op Stmt (Operators)'!$H$20=0,'Summary Op Stmt (Operators)'!$H$20=""),"",H44/'Summary Op Stmt (Operators)'!$H$20)</f>
        <v/>
      </c>
      <c r="J44" s="26"/>
      <c r="K44" s="31" t="str">
        <f>IF(OR('Summary Op Stmt (Operators)'!$J$20=0,'Summary Op Stmt (Operators)'!$J$20=""),"",J44/'Summary Op Stmt (Operators)'!$J$20)</f>
        <v/>
      </c>
      <c r="L44" s="26"/>
      <c r="M44" s="31" t="str">
        <f>IF(OR('Summary Op Stmt (Operators)'!$L$20=0,'Summary Op Stmt (Operators)'!$L$20=""),"",L44/'Summary Op Stmt (Operators)'!$L$20)</f>
        <v/>
      </c>
    </row>
    <row r="45" spans="1:13" x14ac:dyDescent="0.2">
      <c r="A45" s="25" t="s">
        <v>520</v>
      </c>
      <c r="B45" s="26"/>
      <c r="C45" s="31" t="str">
        <f>IF(OR('Summary Op Stmt (Operators)'!$B$20=0,'Summary Op Stmt (Operators)'!$B$20=""),"",B45/'Summary Op Stmt (Operators)'!$B$20)</f>
        <v/>
      </c>
      <c r="D45" s="26"/>
      <c r="E45" s="31" t="str">
        <f>IF(OR('Summary Op Stmt (Operators)'!$D$20=0,'Summary Op Stmt (Operators)'!$D$20=""),"",D45/'Summary Op Stmt (Operators)'!$D$20)</f>
        <v/>
      </c>
      <c r="F45" s="26"/>
      <c r="G45" s="31" t="str">
        <f>IF(OR('Summary Op Stmt (Operators)'!$F$20=0,'Summary Op Stmt (Operators)'!$F$20=""),"",F45/'Summary Op Stmt (Operators)'!$F$20)</f>
        <v/>
      </c>
      <c r="H45" s="26"/>
      <c r="I45" s="31" t="str">
        <f>IF(OR('Summary Op Stmt (Operators)'!$H$20=0,'Summary Op Stmt (Operators)'!$H$20=""),"",H45/'Summary Op Stmt (Operators)'!$H$20)</f>
        <v/>
      </c>
      <c r="J45" s="26"/>
      <c r="K45" s="31" t="str">
        <f>IF(OR('Summary Op Stmt (Operators)'!$J$20=0,'Summary Op Stmt (Operators)'!$J$20=""),"",J45/'Summary Op Stmt (Operators)'!$J$20)</f>
        <v/>
      </c>
      <c r="L45" s="26"/>
      <c r="M45" s="31" t="str">
        <f>IF(OR('Summary Op Stmt (Operators)'!$L$20=0,'Summary Op Stmt (Operators)'!$L$20=""),"",L45/'Summary Op Stmt (Operators)'!$L$20)</f>
        <v/>
      </c>
    </row>
    <row r="46" spans="1:13" x14ac:dyDescent="0.2">
      <c r="A46" s="25" t="s">
        <v>521</v>
      </c>
      <c r="B46" s="26"/>
      <c r="C46" s="31" t="str">
        <f>IF(OR('Summary Op Stmt (Operators)'!$B$20=0,'Summary Op Stmt (Operators)'!$B$20=""),"",B46/'Summary Op Stmt (Operators)'!$B$20)</f>
        <v/>
      </c>
      <c r="D46" s="26"/>
      <c r="E46" s="31" t="str">
        <f>IF(OR('Summary Op Stmt (Operators)'!$D$20=0,'Summary Op Stmt (Operators)'!$D$20=""),"",D46/'Summary Op Stmt (Operators)'!$D$20)</f>
        <v/>
      </c>
      <c r="F46" s="26"/>
      <c r="G46" s="31" t="str">
        <f>IF(OR('Summary Op Stmt (Operators)'!$F$20=0,'Summary Op Stmt (Operators)'!$F$20=""),"",F46/'Summary Op Stmt (Operators)'!$F$20)</f>
        <v/>
      </c>
      <c r="H46" s="26"/>
      <c r="I46" s="31" t="str">
        <f>IF(OR('Summary Op Stmt (Operators)'!$H$20=0,'Summary Op Stmt (Operators)'!$H$20=""),"",H46/'Summary Op Stmt (Operators)'!$H$20)</f>
        <v/>
      </c>
      <c r="J46" s="26"/>
      <c r="K46" s="31" t="str">
        <f>IF(OR('Summary Op Stmt (Operators)'!$J$20=0,'Summary Op Stmt (Operators)'!$J$20=""),"",J46/'Summary Op Stmt (Operators)'!$J$20)</f>
        <v/>
      </c>
      <c r="L46" s="26"/>
      <c r="M46" s="31" t="str">
        <f>IF(OR('Summary Op Stmt (Operators)'!$L$20=0,'Summary Op Stmt (Operators)'!$L$20=""),"",L46/'Summary Op Stmt (Operators)'!$L$20)</f>
        <v/>
      </c>
    </row>
    <row r="47" spans="1:13" x14ac:dyDescent="0.2">
      <c r="A47" s="35" t="s">
        <v>522</v>
      </c>
      <c r="B47" s="36">
        <f>B26+B27+B28+B29+B30+B31+B32+B33+B34+B35+B36+B37+B38+B39+B40+B41+B42+B43+B44+B45+B46</f>
        <v>0</v>
      </c>
      <c r="C47" s="37" t="str">
        <f>IF(OR('Summary Op Stmt (Operators)'!$B$20=0,'Summary Op Stmt (Operators)'!$B$20=""),"",B47/'Summary Op Stmt (Operators)'!$B$20)</f>
        <v/>
      </c>
      <c r="D47" s="36">
        <f>D26+D27+D28+D29+D30+D31+D32+D33+D34+D35+D36+D37+D38+D39+D40+D41+D42+D43+D44+D45+D46</f>
        <v>0</v>
      </c>
      <c r="E47" s="37" t="str">
        <f>IF(OR('Summary Op Stmt (Operators)'!$D$20=0,'Summary Op Stmt (Operators)'!$D$20=""),"",D47/'Summary Op Stmt (Operators)'!$D$20)</f>
        <v/>
      </c>
      <c r="F47" s="36">
        <f>F26+F27+F28+F29+F30+F31+F32+F33+F34+F35+F36+F37+F38+F39+F40+F41+F42+F43+F44+F45+F46</f>
        <v>0</v>
      </c>
      <c r="G47" s="37" t="str">
        <f>IF(OR('Summary Op Stmt (Operators)'!$F$20=0,'Summary Op Stmt (Operators)'!$F$20=""),"",F47/'Summary Op Stmt (Operators)'!$F$20)</f>
        <v/>
      </c>
      <c r="H47" s="36">
        <f>H26+H27+H28+H29+H30+H31+H32+H33+H34+H35+H36+H37+H38+H39+H40+H41+H42+H43+H44+H45+H46</f>
        <v>0</v>
      </c>
      <c r="I47" s="37" t="str">
        <f>IF(OR('Summary Op Stmt (Operators)'!$H$20=0,'Summary Op Stmt (Operators)'!$H$20=""),"",H47/'Summary Op Stmt (Operators)'!$H$20)</f>
        <v/>
      </c>
      <c r="J47" s="36">
        <f>J26+J27+J28+J29+J30+J31+J32+J33+J34+J35+J36+J37+J38+J39+J40+J41+J42+J43+J44+J45+J46</f>
        <v>0</v>
      </c>
      <c r="K47" s="37" t="str">
        <f>IF(OR('Summary Op Stmt (Operators)'!$J$20=0,'Summary Op Stmt (Operators)'!$J$20=""),"",J47/'Summary Op Stmt (Operators)'!$J$20)</f>
        <v/>
      </c>
      <c r="L47" s="36">
        <f>L26+L27+L28+L29+L30+L31+L32+L33+L34+L35+L36+L37+L38+L39+L40+L41+L42+L43+L44+L45+L46</f>
        <v>0</v>
      </c>
      <c r="M47" s="37" t="str">
        <f>IF(OR('Summary Op Stmt (Operators)'!$L$20=0,'Summary Op Stmt (Operators)'!$L$20=""),"",L47/'Summary Op Stmt (Operators)'!$L$20)</f>
        <v/>
      </c>
    </row>
    <row r="48" spans="1:13" x14ac:dyDescent="0.2">
      <c r="A48" s="38" t="s">
        <v>523</v>
      </c>
      <c r="B48" s="39">
        <f>B16+B24+B47</f>
        <v>0</v>
      </c>
      <c r="C48" s="40" t="str">
        <f>IF(OR('Summary Op Stmt (Operators)'!$B$20=0,'Summary Op Stmt (Operators)'!$B$20=""),"",B48/'Summary Op Stmt (Operators)'!$B$20)</f>
        <v/>
      </c>
      <c r="D48" s="39">
        <f>D16+D24+D47</f>
        <v>0</v>
      </c>
      <c r="E48" s="40" t="str">
        <f>IF(OR('Summary Op Stmt (Operators)'!$D$20=0,'Summary Op Stmt (Operators)'!$D$20=""),"",D48/'Summary Op Stmt (Operators)'!$D$20)</f>
        <v/>
      </c>
      <c r="F48" s="39">
        <f>F16+F24+F47</f>
        <v>0</v>
      </c>
      <c r="G48" s="40" t="str">
        <f>IF(OR('Summary Op Stmt (Operators)'!$F$20=0,'Summary Op Stmt (Operators)'!$F$20=""),"",F48/'Summary Op Stmt (Operators)'!$F$20)</f>
        <v/>
      </c>
      <c r="H48" s="39">
        <f>H16+H24+H47</f>
        <v>0</v>
      </c>
      <c r="I48" s="40" t="str">
        <f>IF(OR('Summary Op Stmt (Operators)'!$H$20=0,'Summary Op Stmt (Operators)'!$H$20=""),"",H48/'Summary Op Stmt (Operators)'!$H$20)</f>
        <v/>
      </c>
      <c r="J48" s="39">
        <f>J16+J24+J47</f>
        <v>0</v>
      </c>
      <c r="K48" s="40" t="str">
        <f>IF(OR('Summary Op Stmt (Operators)'!$J$20=0,'Summary Op Stmt (Operators)'!$J$20=""),"",J48/'Summary Op Stmt (Operators)'!$J$20)</f>
        <v/>
      </c>
      <c r="L48" s="39">
        <f>L16+L24+L47</f>
        <v>0</v>
      </c>
      <c r="M48" s="40" t="str">
        <f>IF(OR('Summary Op Stmt (Operators)'!$L$20=0,'Summary Op Stmt (Operators)'!$L$20=""),"",L48/'Summary Op Stmt (Operators)'!$L$20)</f>
        <v/>
      </c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F3864"/>
  </sheetPr>
  <dimension ref="A1:M29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7" sqref="A37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7" customWidth="1"/>
    <col min="4" max="4" width="12" customWidth="1"/>
    <col min="5" max="5" width="7" customWidth="1"/>
    <col min="6" max="6" width="12" customWidth="1"/>
    <col min="7" max="7" width="7" customWidth="1"/>
    <col min="8" max="8" width="12" customWidth="1"/>
    <col min="9" max="9" width="7" customWidth="1"/>
    <col min="10" max="10" width="12" customWidth="1"/>
    <col min="11" max="11" width="7" customWidth="1"/>
    <col min="12" max="12" width="12" customWidth="1"/>
    <col min="13" max="13" width="7" customWidth="1"/>
  </cols>
  <sheetData>
    <row r="1" spans="1:13" ht="21.75" customHeight="1" x14ac:dyDescent="0.2">
      <c r="A1" s="2" t="s">
        <v>524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8" t="s">
        <v>71</v>
      </c>
      <c r="B2" s="19" t="str">
        <f>'Setup &amp; Assumptions'!$B$4</f>
        <v>Enter property name</v>
      </c>
      <c r="H2" s="18" t="s">
        <v>72</v>
      </c>
      <c r="J2" s="19" t="str">
        <f>'Setup &amp; Assumptions'!$B$5</f>
        <v>e.g. January 2026 / FY2026</v>
      </c>
    </row>
    <row r="3" spans="1:13" x14ac:dyDescent="0.2">
      <c r="A3" s="20" t="s">
        <v>525</v>
      </c>
    </row>
    <row r="4" spans="1:13" x14ac:dyDescent="0.2">
      <c r="A4" s="21"/>
      <c r="B4" s="1" t="s">
        <v>74</v>
      </c>
      <c r="C4" s="1"/>
      <c r="D4" s="1"/>
      <c r="E4" s="1"/>
      <c r="F4" s="1"/>
      <c r="G4" s="1"/>
      <c r="H4" s="1" t="s">
        <v>75</v>
      </c>
      <c r="I4" s="1"/>
      <c r="J4" s="1"/>
      <c r="K4" s="1"/>
      <c r="L4" s="1"/>
      <c r="M4" s="1"/>
    </row>
    <row r="5" spans="1:13" x14ac:dyDescent="0.2">
      <c r="A5" s="21"/>
      <c r="B5" s="1" t="s">
        <v>76</v>
      </c>
      <c r="C5" s="1"/>
      <c r="D5" s="1" t="s">
        <v>77</v>
      </c>
      <c r="E5" s="1"/>
      <c r="F5" s="1" t="s">
        <v>78</v>
      </c>
      <c r="G5" s="1"/>
      <c r="H5" s="1" t="s">
        <v>76</v>
      </c>
      <c r="I5" s="1"/>
      <c r="J5" s="1" t="s">
        <v>77</v>
      </c>
      <c r="K5" s="1"/>
      <c r="L5" s="1" t="s">
        <v>78</v>
      </c>
      <c r="M5" s="1"/>
    </row>
    <row r="6" spans="1:13" x14ac:dyDescent="0.2">
      <c r="A6" s="22" t="s">
        <v>79</v>
      </c>
      <c r="B6" s="21" t="s">
        <v>80</v>
      </c>
      <c r="C6" s="21" t="s">
        <v>81</v>
      </c>
      <c r="D6" s="21" t="s">
        <v>80</v>
      </c>
      <c r="E6" s="21" t="s">
        <v>81</v>
      </c>
      <c r="F6" s="21" t="s">
        <v>80</v>
      </c>
      <c r="G6" s="21" t="s">
        <v>81</v>
      </c>
      <c r="H6" s="21" t="s">
        <v>80</v>
      </c>
      <c r="I6" s="21" t="s">
        <v>81</v>
      </c>
      <c r="J6" s="21" t="s">
        <v>80</v>
      </c>
      <c r="K6" s="21" t="s">
        <v>81</v>
      </c>
      <c r="L6" s="21" t="s">
        <v>80</v>
      </c>
      <c r="M6" s="21" t="s">
        <v>81</v>
      </c>
    </row>
    <row r="7" spans="1:13" x14ac:dyDescent="0.2">
      <c r="A7" s="23" t="s">
        <v>526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">
      <c r="A8" s="25" t="s">
        <v>83</v>
      </c>
      <c r="B8" s="30">
        <f>'Summary Op Stmt (Operators)'!B8</f>
        <v>0</v>
      </c>
      <c r="D8" s="30">
        <f>'Summary Op Stmt (Operators)'!D8</f>
        <v>0</v>
      </c>
      <c r="F8" s="30">
        <f>'Summary Op Stmt (Operators)'!F8</f>
        <v>0</v>
      </c>
      <c r="H8" s="30">
        <f>'Summary Op Stmt (Operators)'!H8</f>
        <v>0</v>
      </c>
      <c r="J8" s="30">
        <f>'Summary Op Stmt (Operators)'!J8</f>
        <v>0</v>
      </c>
      <c r="L8" s="30">
        <f>'Summary Op Stmt (Operators)'!L8</f>
        <v>0</v>
      </c>
    </row>
    <row r="9" spans="1:13" x14ac:dyDescent="0.2">
      <c r="A9" s="25" t="s">
        <v>84</v>
      </c>
      <c r="B9" s="30">
        <f>'Summary Op Stmt (Operators)'!B9</f>
        <v>0</v>
      </c>
      <c r="D9" s="30">
        <f>'Summary Op Stmt (Operators)'!D9</f>
        <v>0</v>
      </c>
      <c r="F9" s="30">
        <f>'Summary Op Stmt (Operators)'!F9</f>
        <v>0</v>
      </c>
      <c r="H9" s="30">
        <f>'Summary Op Stmt (Operators)'!H9</f>
        <v>0</v>
      </c>
      <c r="J9" s="30">
        <f>'Summary Op Stmt (Operators)'!J9</f>
        <v>0</v>
      </c>
      <c r="L9" s="30">
        <f>'Summary Op Stmt (Operators)'!L9</f>
        <v>0</v>
      </c>
    </row>
    <row r="10" spans="1:13" x14ac:dyDescent="0.2">
      <c r="A10" s="25" t="s">
        <v>85</v>
      </c>
      <c r="B10" s="43" t="str">
        <f>IF('Summary Op Stmt (Operators)'!B8=0,"",'Summary Op Stmt (Operators)'!B9/'Summary Op Stmt (Operators)'!B8)</f>
        <v/>
      </c>
      <c r="D10" s="43" t="str">
        <f>IF('Summary Op Stmt (Operators)'!D8=0,"",'Summary Op Stmt (Operators)'!D9/'Summary Op Stmt (Operators)'!D8)</f>
        <v/>
      </c>
      <c r="F10" s="43" t="str">
        <f>IF('Summary Op Stmt (Operators)'!F8=0,"",'Summary Op Stmt (Operators)'!F9/'Summary Op Stmt (Operators)'!F8)</f>
        <v/>
      </c>
      <c r="H10" s="43" t="str">
        <f>IF('Summary Op Stmt (Operators)'!H8=0,"",'Summary Op Stmt (Operators)'!H9/'Summary Op Stmt (Operators)'!H8)</f>
        <v/>
      </c>
      <c r="J10" s="43" t="str">
        <f>IF('Summary Op Stmt (Operators)'!J8=0,"",'Summary Op Stmt (Operators)'!J9/'Summary Op Stmt (Operators)'!J8)</f>
        <v/>
      </c>
      <c r="L10" s="43" t="str">
        <f>IF('Summary Op Stmt (Operators)'!L8=0,"",'Summary Op Stmt (Operators)'!L9/'Summary Op Stmt (Operators)'!L8)</f>
        <v/>
      </c>
    </row>
    <row r="11" spans="1:13" x14ac:dyDescent="0.2">
      <c r="A11" s="25" t="s">
        <v>527</v>
      </c>
      <c r="B11" s="44" t="str">
        <f>IF('Summary Op Stmt (Operators)'!B9=0,"",'Summary Op Stmt (Operators)'!B16/'Summary Op Stmt (Operators)'!B9)</f>
        <v/>
      </c>
      <c r="D11" s="44" t="str">
        <f>IF('Summary Op Stmt (Operators)'!D9=0,"",'Summary Op Stmt (Operators)'!D16/'Summary Op Stmt (Operators)'!D9)</f>
        <v/>
      </c>
      <c r="F11" s="44" t="str">
        <f>IF('Summary Op Stmt (Operators)'!F9=0,"",'Summary Op Stmt (Operators)'!F16/'Summary Op Stmt (Operators)'!F9)</f>
        <v/>
      </c>
      <c r="H11" s="44" t="str">
        <f>IF('Summary Op Stmt (Operators)'!H9=0,"",'Summary Op Stmt (Operators)'!H16/'Summary Op Stmt (Operators)'!H9)</f>
        <v/>
      </c>
      <c r="J11" s="44" t="str">
        <f>IF('Summary Op Stmt (Operators)'!J9=0,"",'Summary Op Stmt (Operators)'!J16/'Summary Op Stmt (Operators)'!J9)</f>
        <v/>
      </c>
      <c r="L11" s="44" t="str">
        <f>IF('Summary Op Stmt (Operators)'!L9=0,"",'Summary Op Stmt (Operators)'!L16/'Summary Op Stmt (Operators)'!L9)</f>
        <v/>
      </c>
    </row>
    <row r="12" spans="1:13" x14ac:dyDescent="0.2">
      <c r="A12" s="25" t="s">
        <v>528</v>
      </c>
      <c r="B12" s="44" t="str">
        <f>IF('Summary Op Stmt (Operators)'!B8=0,"",'Summary Op Stmt (Operators)'!B16/'Summary Op Stmt (Operators)'!B8)</f>
        <v/>
      </c>
      <c r="D12" s="44" t="str">
        <f>IF('Summary Op Stmt (Operators)'!D8=0,"",'Summary Op Stmt (Operators)'!D16/'Summary Op Stmt (Operators)'!D8)</f>
        <v/>
      </c>
      <c r="F12" s="44" t="str">
        <f>IF('Summary Op Stmt (Operators)'!F8=0,"",'Summary Op Stmt (Operators)'!F16/'Summary Op Stmt (Operators)'!F8)</f>
        <v/>
      </c>
      <c r="H12" s="44" t="str">
        <f>IF('Summary Op Stmt (Operators)'!H8=0,"",'Summary Op Stmt (Operators)'!H16/'Summary Op Stmt (Operators)'!H8)</f>
        <v/>
      </c>
      <c r="J12" s="44" t="str">
        <f>IF('Summary Op Stmt (Operators)'!J8=0,"",'Summary Op Stmt (Operators)'!J16/'Summary Op Stmt (Operators)'!J8)</f>
        <v/>
      </c>
      <c r="L12" s="44" t="str">
        <f>IF('Summary Op Stmt (Operators)'!L8=0,"",'Summary Op Stmt (Operators)'!L16/'Summary Op Stmt (Operators)'!L8)</f>
        <v/>
      </c>
    </row>
    <row r="13" spans="1:13" x14ac:dyDescent="0.2">
      <c r="A13" s="25" t="s">
        <v>529</v>
      </c>
      <c r="B13" s="44" t="str">
        <f>IF('Summary Op Stmt (Operators)'!B8=0,"",'Summary Op Stmt (Operators)'!B20/'Summary Op Stmt (Operators)'!B8)</f>
        <v/>
      </c>
      <c r="D13" s="44" t="str">
        <f>IF('Summary Op Stmt (Operators)'!D8=0,"",'Summary Op Stmt (Operators)'!D20/'Summary Op Stmt (Operators)'!D8)</f>
        <v/>
      </c>
      <c r="F13" s="44" t="str">
        <f>IF('Summary Op Stmt (Operators)'!F8=0,"",'Summary Op Stmt (Operators)'!F20/'Summary Op Stmt (Operators)'!F8)</f>
        <v/>
      </c>
      <c r="H13" s="44" t="str">
        <f>IF('Summary Op Stmt (Operators)'!H8=0,"",'Summary Op Stmt (Operators)'!H20/'Summary Op Stmt (Operators)'!H8)</f>
        <v/>
      </c>
      <c r="J13" s="44" t="str">
        <f>IF('Summary Op Stmt (Operators)'!J8=0,"",'Summary Op Stmt (Operators)'!J20/'Summary Op Stmt (Operators)'!J8)</f>
        <v/>
      </c>
      <c r="L13" s="44" t="str">
        <f>IF('Summary Op Stmt (Operators)'!L8=0,"",'Summary Op Stmt (Operators)'!L20/'Summary Op Stmt (Operators)'!L8)</f>
        <v/>
      </c>
    </row>
    <row r="14" spans="1:13" x14ac:dyDescent="0.2">
      <c r="A14" s="23" t="s">
        <v>530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x14ac:dyDescent="0.2">
      <c r="A15" s="25" t="s">
        <v>531</v>
      </c>
      <c r="B15" s="30">
        <f>'Schedule 1 - Rooms'!B82</f>
        <v>0</v>
      </c>
      <c r="D15" s="30">
        <f>'Schedule 1 - Rooms'!D82</f>
        <v>0</v>
      </c>
      <c r="F15" s="30">
        <f>'Schedule 1 - Rooms'!F82</f>
        <v>0</v>
      </c>
      <c r="H15" s="30">
        <f>'Schedule 1 - Rooms'!H82</f>
        <v>0</v>
      </c>
      <c r="J15" s="30">
        <f>'Schedule 1 - Rooms'!J82</f>
        <v>0</v>
      </c>
      <c r="L15" s="30">
        <f>'Schedule 1 - Rooms'!L82</f>
        <v>0</v>
      </c>
    </row>
    <row r="16" spans="1:13" x14ac:dyDescent="0.2">
      <c r="A16" s="25" t="s">
        <v>532</v>
      </c>
      <c r="B16" s="43" t="str">
        <f>IF('Schedule 1 - Rooms'!B25=0,"",'Schedule 1 - Rooms'!B82/'Schedule 1 - Rooms'!B25)</f>
        <v/>
      </c>
      <c r="D16" s="43" t="str">
        <f>IF('Schedule 1 - Rooms'!D25=0,"",'Schedule 1 - Rooms'!D82/'Schedule 1 - Rooms'!D25)</f>
        <v/>
      </c>
      <c r="F16" s="43" t="str">
        <f>IF('Schedule 1 - Rooms'!F25=0,"",'Schedule 1 - Rooms'!F82/'Schedule 1 - Rooms'!F25)</f>
        <v/>
      </c>
      <c r="H16" s="43" t="str">
        <f>IF('Schedule 1 - Rooms'!H25=0,"",'Schedule 1 - Rooms'!H82/'Schedule 1 - Rooms'!H25)</f>
        <v/>
      </c>
      <c r="J16" s="43" t="str">
        <f>IF('Schedule 1 - Rooms'!J25=0,"",'Schedule 1 - Rooms'!J82/'Schedule 1 - Rooms'!J25)</f>
        <v/>
      </c>
      <c r="L16" s="43" t="str">
        <f>IF('Schedule 1 - Rooms'!L25=0,"",'Schedule 1 - Rooms'!L82/'Schedule 1 - Rooms'!L25)</f>
        <v/>
      </c>
    </row>
    <row r="17" spans="1:13" x14ac:dyDescent="0.2">
      <c r="A17" s="25" t="s">
        <v>533</v>
      </c>
      <c r="B17" s="30">
        <f>'Schedule 2 - Food &amp; Beverage'!B106</f>
        <v>0</v>
      </c>
      <c r="D17" s="30">
        <f>'Schedule 2 - Food &amp; Beverage'!D106</f>
        <v>0</v>
      </c>
      <c r="F17" s="30">
        <f>'Schedule 2 - Food &amp; Beverage'!F106</f>
        <v>0</v>
      </c>
      <c r="H17" s="30">
        <f>'Schedule 2 - Food &amp; Beverage'!H106</f>
        <v>0</v>
      </c>
      <c r="J17" s="30">
        <f>'Schedule 2 - Food &amp; Beverage'!J106</f>
        <v>0</v>
      </c>
      <c r="L17" s="30">
        <f>'Schedule 2 - Food &amp; Beverage'!L106</f>
        <v>0</v>
      </c>
    </row>
    <row r="18" spans="1:13" x14ac:dyDescent="0.2">
      <c r="A18" s="25" t="s">
        <v>534</v>
      </c>
      <c r="B18" s="43" t="str">
        <f>IF('Schedule 2 - Food &amp; Beverage'!B32=0,"",'Schedule 2 - Food &amp; Beverage'!B106/'Schedule 2 - Food &amp; Beverage'!B32)</f>
        <v/>
      </c>
      <c r="D18" s="43" t="str">
        <f>IF('Schedule 2 - Food &amp; Beverage'!D32=0,"",'Schedule 2 - Food &amp; Beverage'!D106/'Schedule 2 - Food &amp; Beverage'!D32)</f>
        <v/>
      </c>
      <c r="F18" s="43" t="str">
        <f>IF('Schedule 2 - Food &amp; Beverage'!F32=0,"",'Schedule 2 - Food &amp; Beverage'!F106/'Schedule 2 - Food &amp; Beverage'!F32)</f>
        <v/>
      </c>
      <c r="H18" s="43" t="str">
        <f>IF('Schedule 2 - Food &amp; Beverage'!H32=0,"",'Schedule 2 - Food &amp; Beverage'!H106/'Schedule 2 - Food &amp; Beverage'!H32)</f>
        <v/>
      </c>
      <c r="J18" s="43" t="str">
        <f>IF('Schedule 2 - Food &amp; Beverage'!J32=0,"",'Schedule 2 - Food &amp; Beverage'!J106/'Schedule 2 - Food &amp; Beverage'!J32)</f>
        <v/>
      </c>
      <c r="L18" s="43" t="str">
        <f>IF('Schedule 2 - Food &amp; Beverage'!L32=0,"",'Schedule 2 - Food &amp; Beverage'!L106/'Schedule 2 - Food &amp; Beverage'!L32)</f>
        <v/>
      </c>
    </row>
    <row r="19" spans="1:13" x14ac:dyDescent="0.2">
      <c r="A19" s="25" t="s">
        <v>535</v>
      </c>
      <c r="B19" s="43" t="str">
        <f>IF(('Schedule 2 - Food &amp; Beverage'!B14+'Schedule 2 - Food &amp; Beverage'!B21)=0,"",'Schedule 2 - Food &amp; Beverage'!B37/('Schedule 2 - Food &amp; Beverage'!B14+'Schedule 2 - Food &amp; Beverage'!B21))</f>
        <v/>
      </c>
      <c r="D19" s="43" t="str">
        <f>IF(('Schedule 2 - Food &amp; Beverage'!D14+'Schedule 2 - Food &amp; Beverage'!D21)=0,"",'Schedule 2 - Food &amp; Beverage'!D37/('Schedule 2 - Food &amp; Beverage'!D14+'Schedule 2 - Food &amp; Beverage'!D21))</f>
        <v/>
      </c>
      <c r="F19" s="43" t="str">
        <f>IF(('Schedule 2 - Food &amp; Beverage'!F14+'Schedule 2 - Food &amp; Beverage'!F21)=0,"",'Schedule 2 - Food &amp; Beverage'!F37/('Schedule 2 - Food &amp; Beverage'!F14+'Schedule 2 - Food &amp; Beverage'!F21))</f>
        <v/>
      </c>
      <c r="H19" s="43" t="str">
        <f>IF(('Schedule 2 - Food &amp; Beverage'!H14+'Schedule 2 - Food &amp; Beverage'!H21)=0,"",'Schedule 2 - Food &amp; Beverage'!H37/('Schedule 2 - Food &amp; Beverage'!H14+'Schedule 2 - Food &amp; Beverage'!H21))</f>
        <v/>
      </c>
      <c r="J19" s="43" t="str">
        <f>IF(('Schedule 2 - Food &amp; Beverage'!J14+'Schedule 2 - Food &amp; Beverage'!J21)=0,"",'Schedule 2 - Food &amp; Beverage'!J37/('Schedule 2 - Food &amp; Beverage'!J14+'Schedule 2 - Food &amp; Beverage'!J21))</f>
        <v/>
      </c>
      <c r="L19" s="43" t="str">
        <f>IF(('Schedule 2 - Food &amp; Beverage'!L14+'Schedule 2 - Food &amp; Beverage'!L21)=0,"",'Schedule 2 - Food &amp; Beverage'!L37/('Schedule 2 - Food &amp; Beverage'!L14+'Schedule 2 - Food &amp; Beverage'!L21))</f>
        <v/>
      </c>
    </row>
    <row r="20" spans="1:13" x14ac:dyDescent="0.2">
      <c r="A20" s="23" t="s">
        <v>536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2">
      <c r="A21" s="25" t="s">
        <v>94</v>
      </c>
      <c r="B21" s="30">
        <f>'Summary Op Stmt (Operators)'!B20</f>
        <v>0</v>
      </c>
      <c r="D21" s="30">
        <f>'Summary Op Stmt (Operators)'!D20</f>
        <v>0</v>
      </c>
      <c r="F21" s="30">
        <f>'Summary Op Stmt (Operators)'!F20</f>
        <v>0</v>
      </c>
      <c r="H21" s="30">
        <f>'Summary Op Stmt (Operators)'!H20</f>
        <v>0</v>
      </c>
      <c r="J21" s="30">
        <f>'Summary Op Stmt (Operators)'!J20</f>
        <v>0</v>
      </c>
      <c r="L21" s="30">
        <f>'Summary Op Stmt (Operators)'!L20</f>
        <v>0</v>
      </c>
    </row>
    <row r="22" spans="1:13" x14ac:dyDescent="0.2">
      <c r="A22" s="25" t="s">
        <v>537</v>
      </c>
      <c r="B22" s="43" t="str">
        <f>IF('Summary Op Stmt (Operators)'!B20=0,"",'Summary Op Stmt (Operators)'!B26/'Summary Op Stmt (Operators)'!B20)</f>
        <v/>
      </c>
      <c r="D22" s="43" t="str">
        <f>IF('Summary Op Stmt (Operators)'!D20=0,"",'Summary Op Stmt (Operators)'!D26/'Summary Op Stmt (Operators)'!D20)</f>
        <v/>
      </c>
      <c r="F22" s="43" t="str">
        <f>IF('Summary Op Stmt (Operators)'!F20=0,"",'Summary Op Stmt (Operators)'!F26/'Summary Op Stmt (Operators)'!F20)</f>
        <v/>
      </c>
      <c r="H22" s="43" t="str">
        <f>IF('Summary Op Stmt (Operators)'!H20=0,"",'Summary Op Stmt (Operators)'!H26/'Summary Op Stmt (Operators)'!H20)</f>
        <v/>
      </c>
      <c r="J22" s="43" t="str">
        <f>IF('Summary Op Stmt (Operators)'!J20=0,"",'Summary Op Stmt (Operators)'!J26/'Summary Op Stmt (Operators)'!J20)</f>
        <v/>
      </c>
      <c r="L22" s="43" t="str">
        <f>IF('Summary Op Stmt (Operators)'!L20=0,"",'Summary Op Stmt (Operators)'!L26/'Summary Op Stmt (Operators)'!L20)</f>
        <v/>
      </c>
    </row>
    <row r="23" spans="1:13" x14ac:dyDescent="0.2">
      <c r="A23" s="25" t="s">
        <v>538</v>
      </c>
      <c r="B23" s="43" t="str">
        <f>IF('Summary Op Stmt (Operators)'!B20=0,"",'Summary Op Stmt (Operators)'!B33/'Summary Op Stmt (Operators)'!B20)</f>
        <v/>
      </c>
      <c r="D23" s="43" t="str">
        <f>IF('Summary Op Stmt (Operators)'!D20=0,"",'Summary Op Stmt (Operators)'!D33/'Summary Op Stmt (Operators)'!D20)</f>
        <v/>
      </c>
      <c r="F23" s="43" t="str">
        <f>IF('Summary Op Stmt (Operators)'!F20=0,"",'Summary Op Stmt (Operators)'!F33/'Summary Op Stmt (Operators)'!F20)</f>
        <v/>
      </c>
      <c r="H23" s="43" t="str">
        <f>IF('Summary Op Stmt (Operators)'!H20=0,"",'Summary Op Stmt (Operators)'!H33/'Summary Op Stmt (Operators)'!H20)</f>
        <v/>
      </c>
      <c r="J23" s="43" t="str">
        <f>IF('Summary Op Stmt (Operators)'!J20=0,"",'Summary Op Stmt (Operators)'!J33/'Summary Op Stmt (Operators)'!J20)</f>
        <v/>
      </c>
      <c r="L23" s="43" t="str">
        <f>IF('Summary Op Stmt (Operators)'!L20=0,"",'Summary Op Stmt (Operators)'!L33/'Summary Op Stmt (Operators)'!L20)</f>
        <v/>
      </c>
    </row>
    <row r="24" spans="1:13" x14ac:dyDescent="0.2">
      <c r="A24" s="25" t="s">
        <v>539</v>
      </c>
      <c r="B24" s="30">
        <f>'Summary Op Stmt (Operators)'!B34</f>
        <v>0</v>
      </c>
      <c r="D24" s="30">
        <f>'Summary Op Stmt (Operators)'!D34</f>
        <v>0</v>
      </c>
      <c r="F24" s="30">
        <f>'Summary Op Stmt (Operators)'!F34</f>
        <v>0</v>
      </c>
      <c r="H24" s="30">
        <f>'Summary Op Stmt (Operators)'!H34</f>
        <v>0</v>
      </c>
      <c r="J24" s="30">
        <f>'Summary Op Stmt (Operators)'!J34</f>
        <v>0</v>
      </c>
      <c r="L24" s="30">
        <f>'Summary Op Stmt (Operators)'!L34</f>
        <v>0</v>
      </c>
    </row>
    <row r="25" spans="1:13" x14ac:dyDescent="0.2">
      <c r="A25" s="25" t="s">
        <v>540</v>
      </c>
      <c r="B25" s="43" t="str">
        <f>IF('Summary Op Stmt (Operators)'!B20=0,"",'Summary Op Stmt (Operators)'!B34/'Summary Op Stmt (Operators)'!B20)</f>
        <v/>
      </c>
      <c r="D25" s="43" t="str">
        <f>IF('Summary Op Stmt (Operators)'!D20=0,"",'Summary Op Stmt (Operators)'!D34/'Summary Op Stmt (Operators)'!D20)</f>
        <v/>
      </c>
      <c r="F25" s="43" t="str">
        <f>IF('Summary Op Stmt (Operators)'!F20=0,"",'Summary Op Stmt (Operators)'!F34/'Summary Op Stmt (Operators)'!F20)</f>
        <v/>
      </c>
      <c r="H25" s="43" t="str">
        <f>IF('Summary Op Stmt (Operators)'!H20=0,"",'Summary Op Stmt (Operators)'!H34/'Summary Op Stmt (Operators)'!H20)</f>
        <v/>
      </c>
      <c r="J25" s="43" t="str">
        <f>IF('Summary Op Stmt (Operators)'!J20=0,"",'Summary Op Stmt (Operators)'!J34/'Summary Op Stmt (Operators)'!J20)</f>
        <v/>
      </c>
      <c r="L25" s="43" t="str">
        <f>IF('Summary Op Stmt (Operators)'!L20=0,"",'Summary Op Stmt (Operators)'!L34/'Summary Op Stmt (Operators)'!L20)</f>
        <v/>
      </c>
    </row>
    <row r="26" spans="1:13" x14ac:dyDescent="0.2">
      <c r="A26" s="25" t="s">
        <v>541</v>
      </c>
      <c r="B26" s="44" t="str">
        <f>IF('Summary Op Stmt (Operators)'!B8=0,"",'Summary Op Stmt (Operators)'!B34/'Summary Op Stmt (Operators)'!B8)</f>
        <v/>
      </c>
      <c r="D26" s="44" t="str">
        <f>IF('Summary Op Stmt (Operators)'!D8=0,"",'Summary Op Stmt (Operators)'!D34/'Summary Op Stmt (Operators)'!D8)</f>
        <v/>
      </c>
      <c r="F26" s="44" t="str">
        <f>IF('Summary Op Stmt (Operators)'!F8=0,"",'Summary Op Stmt (Operators)'!F34/'Summary Op Stmt (Operators)'!F8)</f>
        <v/>
      </c>
      <c r="H26" s="44" t="str">
        <f>IF('Summary Op Stmt (Operators)'!H8=0,"",'Summary Op Stmt (Operators)'!H34/'Summary Op Stmt (Operators)'!H8)</f>
        <v/>
      </c>
      <c r="J26" s="44" t="str">
        <f>IF('Summary Op Stmt (Operators)'!J8=0,"",'Summary Op Stmt (Operators)'!J34/'Summary Op Stmt (Operators)'!J8)</f>
        <v/>
      </c>
      <c r="L26" s="44" t="str">
        <f>IF('Summary Op Stmt (Operators)'!L8=0,"",'Summary Op Stmt (Operators)'!L34/'Summary Op Stmt (Operators)'!L8)</f>
        <v/>
      </c>
    </row>
    <row r="27" spans="1:13" x14ac:dyDescent="0.2">
      <c r="A27" s="25" t="s">
        <v>542</v>
      </c>
      <c r="B27" s="30">
        <f>'Summary Op Stmt (Operators)'!B44</f>
        <v>0</v>
      </c>
      <c r="D27" s="30">
        <f>'Summary Op Stmt (Operators)'!D44</f>
        <v>0</v>
      </c>
      <c r="F27" s="30">
        <f>'Summary Op Stmt (Operators)'!F44</f>
        <v>0</v>
      </c>
      <c r="H27" s="30">
        <f>'Summary Op Stmt (Operators)'!H44</f>
        <v>0</v>
      </c>
      <c r="J27" s="30">
        <f>'Summary Op Stmt (Operators)'!J44</f>
        <v>0</v>
      </c>
      <c r="L27" s="30">
        <f>'Summary Op Stmt (Operators)'!L44</f>
        <v>0</v>
      </c>
    </row>
    <row r="28" spans="1:13" x14ac:dyDescent="0.2">
      <c r="A28" s="25" t="s">
        <v>543</v>
      </c>
      <c r="B28" s="43" t="str">
        <f>IF('Summary Op Stmt (Operators)'!B20=0,"",'Summary Op Stmt (Operators)'!B44/'Summary Op Stmt (Operators)'!B20)</f>
        <v/>
      </c>
      <c r="D28" s="43" t="str">
        <f>IF('Summary Op Stmt (Operators)'!D20=0,"",'Summary Op Stmt (Operators)'!D44/'Summary Op Stmt (Operators)'!D20)</f>
        <v/>
      </c>
      <c r="F28" s="43" t="str">
        <f>IF('Summary Op Stmt (Operators)'!F20=0,"",'Summary Op Stmt (Operators)'!F44/'Summary Op Stmt (Operators)'!F20)</f>
        <v/>
      </c>
      <c r="H28" s="43" t="str">
        <f>IF('Summary Op Stmt (Operators)'!H20=0,"",'Summary Op Stmt (Operators)'!H44/'Summary Op Stmt (Operators)'!H20)</f>
        <v/>
      </c>
      <c r="J28" s="43" t="str">
        <f>IF('Summary Op Stmt (Operators)'!J20=0,"",'Summary Op Stmt (Operators)'!J44/'Summary Op Stmt (Operators)'!J20)</f>
        <v/>
      </c>
      <c r="L28" s="43" t="str">
        <f>IF('Summary Op Stmt (Operators)'!L20=0,"",'Summary Op Stmt (Operators)'!L44/'Summary Op Stmt (Operators)'!L20)</f>
        <v/>
      </c>
    </row>
    <row r="29" spans="1:13" x14ac:dyDescent="0.2">
      <c r="A29" s="35" t="s">
        <v>116</v>
      </c>
      <c r="B29" s="45">
        <f>'Summary Op Stmt (Operators)'!B46</f>
        <v>0</v>
      </c>
      <c r="C29" s="41"/>
      <c r="D29" s="45">
        <f>'Summary Op Stmt (Operators)'!D46</f>
        <v>0</v>
      </c>
      <c r="E29" s="41"/>
      <c r="F29" s="45">
        <f>'Summary Op Stmt (Operators)'!F46</f>
        <v>0</v>
      </c>
      <c r="G29" s="41"/>
      <c r="H29" s="45">
        <f>'Summary Op Stmt (Operators)'!H46</f>
        <v>0</v>
      </c>
      <c r="I29" s="41"/>
      <c r="J29" s="45">
        <f>'Summary Op Stmt (Operators)'!J46</f>
        <v>0</v>
      </c>
      <c r="K29" s="41"/>
      <c r="L29" s="45">
        <f>'Summary Op Stmt (Operators)'!L46</f>
        <v>0</v>
      </c>
      <c r="M29" s="41"/>
    </row>
  </sheetData>
  <mergeCells count="9">
    <mergeCell ref="A1:M1"/>
    <mergeCell ref="B4:G4"/>
    <mergeCell ref="H4:M4"/>
    <mergeCell ref="B5:C5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 &amp; Instructions</vt:lpstr>
      <vt:lpstr>Setup &amp; Assumptions</vt:lpstr>
      <vt:lpstr>Summary Op Stmt (Operators)</vt:lpstr>
      <vt:lpstr>Summary Op Stmt (Owners)</vt:lpstr>
      <vt:lpstr>Schedule 1 - Rooms</vt:lpstr>
      <vt:lpstr>Schedule 2 - Food &amp; Beverage</vt:lpstr>
      <vt:lpstr>Schedule 3 - Other Op Depts</vt:lpstr>
      <vt:lpstr>Sub-Sch 3-1 - Golf</vt:lpstr>
      <vt:lpstr>Sub-Sch 3-2 - Health Club Spa</vt:lpstr>
      <vt:lpstr>Sub-Sch 3-3 - Parking</vt:lpstr>
      <vt:lpstr>Sub-Sch 3-x - Generic</vt:lpstr>
      <vt:lpstr>Sub-Sch 3-xx - Minor Op Depts</vt:lpstr>
      <vt:lpstr>Schedule 4 - Misc Income</vt:lpstr>
      <vt:lpstr>Schedule 5 - Admin &amp; General</vt:lpstr>
      <vt:lpstr>Schedule 6 - Info &amp; Telecom</vt:lpstr>
      <vt:lpstr>Schedule 7 - Sales &amp; Marketing</vt:lpstr>
      <vt:lpstr>Schedule 8 - Prop Op &amp; Maint</vt:lpstr>
      <vt:lpstr>Schedule 9 - Utilities</vt:lpstr>
      <vt:lpstr>Schedule 10 - Management Fees</vt:lpstr>
      <vt:lpstr>Schedule 11 - Non-Operating</vt:lpstr>
      <vt:lpstr>Schedule 12 - House Laundry</vt:lpstr>
      <vt:lpstr>Schedule 13 - Staff Dining</vt:lpstr>
      <vt:lpstr>Schedule 14 - Payroll-Related</vt:lpstr>
      <vt:lpstr>Operating Metrics &amp;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Bijoy Sengupta</cp:lastModifiedBy>
  <cp:revision>0</cp:revision>
  <dcterms:created xsi:type="dcterms:W3CDTF">2026-06-16T06:49:06Z</dcterms:created>
  <dcterms:modified xsi:type="dcterms:W3CDTF">2026-06-16T15:59:17Z</dcterms:modified>
  <dc:language>en-US</dc:language>
</cp:coreProperties>
</file>